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ZGJ\Desktop\"/>
    </mc:Choice>
  </mc:AlternateContent>
  <bookViews>
    <workbookView windowWidth="29868" windowHeight="13380"/>
  </bookViews>
  <sheets>
    <sheet name="全模组清单" sheetId="1" r:id="rId1"/>
    <sheet name="分档统计" sheetId="2" r:id="rId2"/>
  </sheets>
  <definedNames>
    <definedName name="_xlnm._FilterDatabase" localSheetId="0" hidden="1">全模组清单!$B$5:$J$138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<sst xmlns="http://schemas.openxmlformats.org/spreadsheetml/2006/main" count="620" uniqueCount="352">
  <si>
    <r>
      <rPr>
        <b/>
        <sz val="16"/>
        <rFont val="微软雅黑"/>
        <charset val="1"/>
      </rPr>
      <t xml:space="preserve">Symbiote vs Spore </t>
    </r>
    <r>
      <rPr>
        <b/>
        <sz val="16"/>
        <rFont val="Noto Sans CJK SC"/>
        <charset val="134"/>
      </rPr>
      <t>全模组清单（按重要性分档）</t>
    </r>
  </si>
  <si>
    <r>
      <rPr>
        <sz val="10"/>
        <color rgb="FF808080"/>
        <rFont val="Noto Sans CJK SC"/>
        <charset val="134"/>
      </rPr>
      <t>排序规则：先按对整合包的重要性分档（</t>
    </r>
    <r>
      <rPr>
        <sz val="10"/>
        <color rgb="FF808080"/>
        <rFont val="微软雅黑"/>
        <charset val="1"/>
      </rPr>
      <t>S→F</t>
    </r>
    <r>
      <rPr>
        <sz val="10"/>
        <color rgb="FF808080"/>
        <rFont val="Noto Sans CJK SC"/>
        <charset val="134"/>
      </rPr>
      <t>），档内按内容量降序 ｜ 数据日期：</t>
    </r>
    <r>
      <rPr>
        <sz val="10"/>
        <color rgb="FF808080"/>
        <rFont val="微软雅黑"/>
        <charset val="1"/>
      </rPr>
      <t>2026-09-22</t>
    </r>
  </si>
  <si>
    <t>档位</t>
  </si>
  <si>
    <t>分类</t>
  </si>
  <si>
    <t>Mod</t>
  </si>
  <si>
    <r>
      <rPr>
        <b/>
        <sz val="10"/>
        <color rgb="FFFFFFFF"/>
        <rFont val="微软雅黑"/>
        <charset val="1"/>
      </rPr>
      <t>Boss</t>
    </r>
    <r>
      <rPr>
        <b/>
        <sz val="10"/>
        <color rgb="FFFFFFFF"/>
        <rFont val="Noto Sans CJK SC"/>
        <charset val="134"/>
      </rPr>
      <t>级</t>
    </r>
  </si>
  <si>
    <t>武器</t>
  </si>
  <si>
    <t>敌对</t>
  </si>
  <si>
    <t>中立</t>
  </si>
  <si>
    <t>内容量（原文）</t>
  </si>
  <si>
    <t>介绍</t>
  </si>
  <si>
    <t>S</t>
  </si>
  <si>
    <t>主题与战斗核心</t>
  </si>
  <si>
    <r>
      <rPr>
        <sz val="10"/>
        <rFont val="微软雅黑"/>
        <charset val="1"/>
      </rPr>
      <t>Epic Fight</t>
    </r>
    <r>
      <rPr>
        <sz val="10"/>
        <rFont val="Noto Sans CJK SC"/>
        <charset val="134"/>
      </rPr>
      <t>（史诗战斗）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</si>
  <si>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33</t>
    </r>
  </si>
  <si>
    <r>
      <rPr>
        <sz val="10"/>
        <rFont val="Noto Sans CJK SC"/>
        <charset val="134"/>
      </rPr>
      <t xml:space="preserve">全包战斗系统的地基。把 </t>
    </r>
    <r>
      <rPr>
        <sz val="10"/>
        <rFont val="微软雅黑"/>
        <charset val="1"/>
      </rPr>
      <t xml:space="preserve">Minecraft </t>
    </r>
    <r>
      <rPr>
        <sz val="10"/>
        <rFont val="Noto Sans CJK SC"/>
        <charset val="134"/>
      </rPr>
      <t>的战斗从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点鼠标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重做为动作游戏：翻滚闪避、格挡招架、体力管理、武器连招（</t>
    </r>
    <r>
      <rPr>
        <sz val="10"/>
        <rFont val="微软雅黑"/>
        <charset val="1"/>
      </rPr>
      <t>Moveset</t>
    </r>
    <r>
      <rPr>
        <sz val="10"/>
        <rFont val="Noto Sans CJK SC"/>
        <charset val="134"/>
      </rPr>
      <t>）、硬直与架势条。包里一切武器适配、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手感、战斗附属都建立在它之上，没有它这个包就不成立。</t>
    </r>
  </si>
  <si>
    <r>
      <rPr>
        <sz val="10"/>
        <rFont val="微软雅黑"/>
        <charset val="1"/>
      </rPr>
      <t>Spore</t>
    </r>
    <r>
      <rPr>
        <sz val="10"/>
        <rFont val="Noto Sans CJK SC"/>
        <charset val="134"/>
      </rPr>
      <t>（真菌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孢子）</t>
    </r>
  </si>
  <si>
    <r>
      <t>Boss</t>
    </r>
    <r>
      <rPr>
        <sz val="10"/>
        <rFont val="Noto Sans CJK SC"/>
        <charset val="1"/>
      </rPr>
      <t>级</t>
    </r>
    <r>
      <rPr>
        <sz val="10"/>
        <rFont val="微软雅黑"/>
        <charset val="1"/>
      </rPr>
      <t>16/</t>
    </r>
    <r>
      <rPr>
        <sz val="10"/>
        <rFont val="Noto Sans CJK SC"/>
        <charset val="1"/>
      </rPr>
      <t>敌对</t>
    </r>
    <r>
      <rPr>
        <sz val="10"/>
        <rFont val="微软雅黑"/>
        <charset val="1"/>
      </rPr>
      <t>81/</t>
    </r>
    <r>
      <rPr>
        <sz val="10"/>
        <rFont val="Noto Sans CJK SC"/>
        <charset val="1"/>
      </rPr>
      <t>武器</t>
    </r>
    <r>
      <rPr>
        <sz val="10"/>
        <rFont val="微软雅黑"/>
        <charset val="1"/>
      </rPr>
      <t>19</t>
    </r>
  </si>
  <si>
    <r>
      <rPr>
        <sz val="10"/>
        <rFont val="微软雅黑"/>
        <charset val="1"/>
      </rPr>
      <t>"</t>
    </r>
    <r>
      <rPr>
        <sz val="10"/>
        <rFont val="Noto Sans CJK SC"/>
        <charset val="134"/>
      </rPr>
      <t>抵抗真菌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主线的对手阵营。真菌从感染区扩散，侵蚀生物与世界：</t>
    </r>
    <r>
      <rPr>
        <sz val="10"/>
        <rFont val="微软雅黑"/>
        <charset val="1"/>
      </rPr>
      <t xml:space="preserve">81 </t>
    </r>
    <r>
      <rPr>
        <sz val="10"/>
        <rFont val="Noto Sans CJK SC"/>
        <charset val="134"/>
      </rPr>
      <t>种感染体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真菌器官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实验体（菌械重炮 </t>
    </r>
    <r>
      <rPr>
        <sz val="10"/>
        <rFont val="微软雅黑"/>
        <charset val="1"/>
      </rPr>
      <t xml:space="preserve">500 </t>
    </r>
    <r>
      <rPr>
        <sz val="10"/>
        <rFont val="Noto Sans CJK SC"/>
        <charset val="134"/>
      </rPr>
      <t xml:space="preserve">血、破舰魔 </t>
    </r>
    <r>
      <rPr>
        <sz val="10"/>
        <rFont val="微软雅黑"/>
        <charset val="1"/>
      </rPr>
      <t xml:space="preserve">450 </t>
    </r>
    <r>
      <rPr>
        <sz val="10"/>
        <rFont val="Noto Sans CJK SC"/>
        <charset val="134"/>
      </rPr>
      <t>血、沉渊魔、凝袭魔等），既有菌染村民这种人形感染体，也有巨型真菌兽。是世界观与终局压力的核心来源。</t>
    </r>
  </si>
  <si>
    <r>
      <rPr>
        <sz val="10"/>
        <rFont val="微软雅黑"/>
        <charset val="1"/>
      </rPr>
      <t>Symbiote</t>
    </r>
    <r>
      <rPr>
        <sz val="10"/>
        <rFont val="Noto Sans CJK SC"/>
        <charset val="134"/>
      </rPr>
      <t>（共生体）</t>
    </r>
  </si>
  <si>
    <t>机制型</t>
  </si>
  <si>
    <r>
      <rPr>
        <sz val="10"/>
        <rFont val="Noto Sans CJK SC"/>
        <charset val="134"/>
      </rPr>
      <t xml:space="preserve">与 </t>
    </r>
    <r>
      <rPr>
        <sz val="10"/>
        <rFont val="微软雅黑"/>
        <charset val="1"/>
      </rPr>
      <t xml:space="preserve">Spore </t>
    </r>
    <r>
      <rPr>
        <sz val="10"/>
        <rFont val="Noto Sans CJK SC"/>
        <charset val="134"/>
      </rPr>
      <t>对应的玩家侧主题：找到陨石、与共生体结合、获得力量并承担代价。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 xml:space="preserve">共生 </t>
    </r>
    <r>
      <rPr>
        <sz val="10"/>
        <rFont val="微软雅黑"/>
        <charset val="1"/>
      </rPr>
      <t xml:space="preserve">vs </t>
    </r>
    <r>
      <rPr>
        <sz val="10"/>
        <rFont val="Noto Sans CJK SC"/>
        <charset val="134"/>
      </rPr>
      <t>孢子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的双主题之一，标题的一半。</t>
    </r>
  </si>
  <si>
    <t>A</t>
  </si>
  <si>
    <t>主线内容支柱</t>
  </si>
  <si>
    <r>
      <rPr>
        <sz val="10"/>
        <rFont val="微软雅黑"/>
        <charset val="1"/>
      </rPr>
      <t>Souls-like Universe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SLU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</si>
  <si>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43/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173/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77</t>
    </r>
  </si>
  <si>
    <r>
      <rPr>
        <sz val="10"/>
        <rFont val="Noto Sans CJK SC"/>
        <charset val="134"/>
      </rPr>
      <t xml:space="preserve">黑魂宇宙大型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附属，全包内容量之王。混编黑暗之魂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艾尔登法环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血源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只狼（薪王化身、葛孚雷、拉达冈、无名王者、玛利喀斯）与英雄联盟皮肤线的武器盔甲和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，</t>
    </r>
    <r>
      <rPr>
        <sz val="10"/>
        <rFont val="微软雅黑"/>
        <charset val="1"/>
      </rPr>
      <t xml:space="preserve">43 </t>
    </r>
    <r>
      <rPr>
        <sz val="10"/>
        <rFont val="Noto Sans CJK SC"/>
        <charset val="134"/>
      </rPr>
      <t xml:space="preserve">个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级实体，是黑魂章节的主力内容库。</t>
    </r>
  </si>
  <si>
    <r>
      <rPr>
        <sz val="10"/>
        <rFont val="微软雅黑"/>
        <charset val="1"/>
      </rPr>
      <t>Jerotes</t>
    </r>
    <r>
      <rPr>
        <sz val="10"/>
        <rFont val="Noto Sans CJK SC"/>
        <charset val="134"/>
      </rPr>
      <t>村庄（</t>
    </r>
    <r>
      <rPr>
        <sz val="10"/>
        <rFont val="微软雅黑"/>
        <charset val="1"/>
      </rPr>
      <t>jerotesvillage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</si>
  <si>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37/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155/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65/</t>
    </r>
    <r>
      <rPr>
        <sz val="10"/>
        <rFont val="Noto Sans CJK SC"/>
        <charset val="134"/>
      </rPr>
      <t>中立</t>
    </r>
    <r>
      <rPr>
        <sz val="10"/>
        <rFont val="微软雅黑"/>
        <charset val="1"/>
      </rPr>
      <t>133</t>
    </r>
  </si>
  <si>
    <r>
      <rPr>
        <sz val="10"/>
        <rFont val="Noto Sans CJK SC"/>
        <charset val="134"/>
      </rPr>
      <t>国产大型生物</t>
    </r>
    <r>
      <rPr>
        <sz val="10"/>
        <rFont val="微软雅黑"/>
        <charset val="1"/>
      </rPr>
      <t>+</t>
    </r>
    <r>
      <rPr>
        <sz val="10"/>
        <rFont val="Noto Sans CJK SC"/>
        <charset val="134"/>
      </rPr>
      <t>村庄模组。</t>
    </r>
    <r>
      <rPr>
        <sz val="10"/>
        <rFont val="微软雅黑"/>
        <charset val="1"/>
      </rPr>
      <t xml:space="preserve">37 </t>
    </r>
    <r>
      <rPr>
        <sz val="10"/>
        <rFont val="Noto Sans CJK SC"/>
        <charset val="134"/>
      </rPr>
      <t xml:space="preserve">个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级实体、</t>
    </r>
    <r>
      <rPr>
        <sz val="10"/>
        <rFont val="微软雅黑"/>
        <charset val="1"/>
      </rPr>
      <t xml:space="preserve">155 </t>
    </r>
    <r>
      <rPr>
        <sz val="10"/>
        <rFont val="Noto Sans CJK SC"/>
        <charset val="134"/>
      </rPr>
      <t xml:space="preserve">件武器、近 </t>
    </r>
    <r>
      <rPr>
        <sz val="10"/>
        <rFont val="微软雅黑"/>
        <charset val="1"/>
      </rPr>
      <t xml:space="preserve">200 </t>
    </r>
    <r>
      <rPr>
        <sz val="10"/>
        <rFont val="Noto Sans CJK SC"/>
        <charset val="134"/>
      </rPr>
      <t xml:space="preserve">种生物，内容密度极高；武器已全部完成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适配，是中后期武器与怪物的主要来源之一。</t>
    </r>
  </si>
  <si>
    <r>
      <rPr>
        <sz val="10"/>
        <rFont val="Noto Sans CJK SC"/>
        <charset val="134"/>
      </rPr>
      <t>地牢与战斗（</t>
    </r>
    <r>
      <rPr>
        <sz val="10"/>
        <rFont val="微软雅黑"/>
        <charset val="1"/>
      </rPr>
      <t>dungeons_and_combat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</si>
  <si>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211/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33/Boss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7</t>
    </r>
  </si>
  <si>
    <r>
      <rPr>
        <sz val="10"/>
        <rFont val="Noto Sans CJK SC"/>
        <charset val="134"/>
      </rPr>
      <t>大型地牢战斗内容包：</t>
    </r>
    <r>
      <rPr>
        <sz val="10"/>
        <rFont val="微软雅黑"/>
        <charset val="1"/>
      </rPr>
      <t xml:space="preserve">211 </t>
    </r>
    <r>
      <rPr>
        <sz val="10"/>
        <rFont val="Noto Sans CJK SC"/>
        <charset val="134"/>
      </rPr>
      <t xml:space="preserve">件武器全包第二多，配合地牢结构与战斗遭遇（卡玛斯、苏蕾娅等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 xml:space="preserve">）。武器已 </t>
    </r>
    <r>
      <rPr>
        <sz val="10"/>
        <rFont val="微软雅黑"/>
        <charset val="1"/>
      </rPr>
      <t xml:space="preserve">100% EF </t>
    </r>
    <r>
      <rPr>
        <sz val="10"/>
        <rFont val="Noto Sans CJK SC"/>
        <charset val="134"/>
      </rPr>
      <t>覆盖。</t>
    </r>
  </si>
  <si>
    <r>
      <rPr>
        <sz val="10"/>
        <rFont val="Noto Sans CJK SC"/>
        <charset val="134"/>
      </rPr>
      <t>史诗骑士（</t>
    </r>
    <r>
      <rPr>
        <sz val="10"/>
        <rFont val="微软雅黑"/>
        <charset val="1"/>
      </rPr>
      <t>magistuarmory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</si>
  <si>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228</t>
    </r>
  </si>
  <si>
    <r>
      <rPr>
        <sz val="10"/>
        <rFont val="Noto Sans CJK SC"/>
        <charset val="134"/>
      </rPr>
      <t xml:space="preserve">中世纪装备库：十余国风格盔甲、盾牌与兵器共 </t>
    </r>
    <r>
      <rPr>
        <sz val="10"/>
        <rFont val="微软雅黑"/>
        <charset val="1"/>
      </rPr>
      <t xml:space="preserve">228 </t>
    </r>
    <r>
      <rPr>
        <sz val="10"/>
        <rFont val="Noto Sans CJK SC"/>
        <charset val="134"/>
      </rPr>
      <t xml:space="preserve">件，全包武器数第一，盔甲图鉴主力。自带官方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适配。</t>
    </r>
  </si>
  <si>
    <r>
      <rPr>
        <sz val="10"/>
        <rFont val="Noto Sans CJK SC"/>
        <charset val="134"/>
      </rPr>
      <t>简易刀剑（</t>
    </r>
    <r>
      <rPr>
        <sz val="10"/>
        <rFont val="微软雅黑"/>
        <charset val="1"/>
      </rPr>
      <t>Simply Swords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</si>
  <si>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120</t>
    </r>
  </si>
  <si>
    <r>
      <rPr>
        <sz val="10"/>
        <rFont val="Noto Sans CJK SC"/>
        <charset val="134"/>
      </rPr>
      <t xml:space="preserve">风格化独特刀剑库：符文武器、下界合金变体等，每件独立模型与特效。自带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适配，前中期武器库骨干。</t>
    </r>
  </si>
  <si>
    <r>
      <rPr>
        <sz val="10"/>
        <rFont val="Noto Sans CJK SC"/>
        <charset val="134"/>
      </rPr>
      <t>灾变（</t>
    </r>
    <r>
      <rPr>
        <sz val="10"/>
        <rFont val="微软雅黑"/>
        <charset val="1"/>
      </rPr>
      <t>L_Ender's Cataclysm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</si>
  <si>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20/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36/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23</t>
    </r>
  </si>
  <si>
    <r>
      <rPr>
        <sz val="10"/>
        <rFont val="微软雅黑"/>
        <charset val="1"/>
      </rPr>
      <t>**</t>
    </r>
    <r>
      <rPr>
        <sz val="10"/>
        <rFont val="Noto Sans CJK SC"/>
        <charset val="134"/>
      </rPr>
      <t xml:space="preserve">核心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模组</t>
    </r>
    <r>
      <rPr>
        <sz val="10"/>
        <rFont val="微软雅黑"/>
        <charset val="1"/>
      </rPr>
      <t>**</t>
    </r>
    <r>
      <rPr>
        <sz val="10"/>
        <rFont val="Noto Sans CJK SC"/>
        <charset val="134"/>
      </rPr>
      <t xml:space="preserve">。焰魔、下界合金巨兽、远古遗魂、利维坦、斯库拉、咒翼灵骸、先驱者、末影守卫、燃魂——每个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 xml:space="preserve">有专属结构、机制与传说武器，主线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战支柱。</t>
    </r>
  </si>
  <si>
    <r>
      <rPr>
        <sz val="10"/>
        <rFont val="微软雅黑"/>
        <charset val="1"/>
      </rPr>
      <t xml:space="preserve">Spore </t>
    </r>
    <r>
      <rPr>
        <sz val="10"/>
        <rFont val="Noto Sans CJK SC"/>
        <charset val="134"/>
      </rPr>
      <t>武器线</t>
    </r>
  </si>
  <si>
    <r>
      <rPr>
        <sz val="10"/>
        <rFont val="Noto Sans CJK SC"/>
        <charset val="134"/>
      </rPr>
      <t xml:space="preserve">（见 </t>
    </r>
    <r>
      <rPr>
        <sz val="10"/>
        <rFont val="微软雅黑"/>
        <charset val="1"/>
      </rPr>
      <t xml:space="preserve">S </t>
    </r>
    <r>
      <rPr>
        <sz val="10"/>
        <rFont val="Noto Sans CJK SC"/>
        <charset val="134"/>
      </rPr>
      <t>级）</t>
    </r>
  </si>
  <si>
    <t>—</t>
  </si>
  <si>
    <r>
      <rPr>
        <sz val="10"/>
        <rFont val="Noto Sans CJK SC"/>
        <charset val="134"/>
      </rPr>
      <t>暮色森林（</t>
    </r>
    <r>
      <rPr>
        <sz val="10"/>
        <rFont val="微软雅黑"/>
        <charset val="1"/>
      </rPr>
      <t>The Twilight Forest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</si>
  <si>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50/Boss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7/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20</t>
    </r>
  </si>
  <si>
    <r>
      <rPr>
        <sz val="10"/>
        <rFont val="微软雅黑"/>
        <charset val="1"/>
      </rPr>
      <t>**</t>
    </r>
    <r>
      <rPr>
        <sz val="10"/>
        <rFont val="Noto Sans CJK SC"/>
        <charset val="134"/>
      </rPr>
      <t>主线章节维度</t>
    </r>
    <r>
      <rPr>
        <sz val="10"/>
        <rFont val="微软雅黑"/>
        <charset val="1"/>
      </rPr>
      <t>**</t>
    </r>
    <r>
      <rPr>
        <sz val="10"/>
        <rFont val="Noto Sans CJK SC"/>
        <charset val="134"/>
      </rPr>
      <t xml:space="preserve">。娜迦→巫妖→米诺菇→九头蛇→幻影骑士→雪怪首领→冰雪女王的线性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链与迷宫高塔，</t>
    </r>
    <r>
      <rPr>
        <sz val="10"/>
        <rFont val="微软雅黑"/>
        <charset val="1"/>
      </rPr>
      <t xml:space="preserve">FTB </t>
    </r>
    <r>
      <rPr>
        <sz val="10"/>
        <rFont val="Noto Sans CJK SC"/>
        <charset val="134"/>
      </rPr>
      <t>任务线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天灾防线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阶段的舞台。</t>
    </r>
  </si>
  <si>
    <r>
      <rPr>
        <sz val="10"/>
        <rFont val="Noto Sans CJK SC"/>
        <charset val="134"/>
      </rPr>
      <t>传奇怪物（</t>
    </r>
    <r>
      <rPr>
        <sz val="10"/>
        <rFont val="微软雅黑"/>
        <charset val="1"/>
      </rPr>
      <t>Legendary Monsters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</si>
  <si>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16/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30/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26</t>
    </r>
  </si>
  <si>
    <r>
      <rPr>
        <sz val="10"/>
        <rFont val="Noto Sans CJK SC"/>
        <charset val="134"/>
      </rPr>
      <t xml:space="preserve">中后期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 xml:space="preserve">与专属地牢：堕落圣骑、湮灭构造体等 </t>
    </r>
    <r>
      <rPr>
        <sz val="10"/>
        <rFont val="微软雅黑"/>
        <charset val="1"/>
      </rPr>
      <t xml:space="preserve">16 </t>
    </r>
    <r>
      <rPr>
        <sz val="10"/>
        <rFont val="Noto Sans CJK SC"/>
        <charset val="134"/>
      </rPr>
      <t xml:space="preserve">个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 xml:space="preserve">级实体，阶段机制与独特掉落，配 </t>
    </r>
    <r>
      <rPr>
        <sz val="10"/>
        <rFont val="微软雅黑"/>
        <charset val="1"/>
      </rPr>
      <t xml:space="preserve">wolm </t>
    </r>
    <r>
      <rPr>
        <sz val="10"/>
        <rFont val="Noto Sans CJK SC"/>
        <charset val="134"/>
      </rPr>
      <t xml:space="preserve">获得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招式。</t>
    </r>
  </si>
  <si>
    <r>
      <rPr>
        <sz val="10"/>
        <rFont val="微软雅黑"/>
        <charset val="1"/>
      </rPr>
      <t xml:space="preserve">Alex </t>
    </r>
    <r>
      <rPr>
        <sz val="10"/>
        <rFont val="Noto Sans CJK SC"/>
        <charset val="134"/>
      </rPr>
      <t>的洞穴（</t>
    </r>
    <r>
      <rPr>
        <sz val="10"/>
        <rFont val="微软雅黑"/>
        <charset val="1"/>
      </rPr>
      <t>Alex's Caves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</si>
  <si>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36/Boss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7</t>
    </r>
  </si>
  <si>
    <r>
      <rPr>
        <sz val="10"/>
        <rFont val="Noto Sans CJK SC"/>
        <charset val="134"/>
      </rPr>
      <t>大型洞穴维度化扩展：原始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毒素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磁能等 </t>
    </r>
    <r>
      <rPr>
        <sz val="10"/>
        <rFont val="微软雅黑"/>
        <charset val="1"/>
      </rPr>
      <t xml:space="preserve">6 </t>
    </r>
    <r>
      <rPr>
        <sz val="10"/>
        <rFont val="Noto Sans CJK SC"/>
        <charset val="134"/>
      </rPr>
      <t xml:space="preserve">大群系，暝煌龙、撼地斯拉等洞穴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，探索内容大户。</t>
    </r>
  </si>
  <si>
    <r>
      <rPr>
        <sz val="10"/>
        <rFont val="微软雅黑"/>
        <charset val="1"/>
      </rPr>
      <t xml:space="preserve">Alex </t>
    </r>
    <r>
      <rPr>
        <sz val="10"/>
        <rFont val="Noto Sans CJK SC"/>
        <charset val="134"/>
      </rPr>
      <t>的生物（</t>
    </r>
    <r>
      <rPr>
        <sz val="10"/>
        <rFont val="微软雅黑"/>
        <charset val="1"/>
      </rPr>
      <t>Alex's Mobs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</si>
  <si>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中立</t>
    </r>
    <r>
      <rPr>
        <sz val="10"/>
        <rFont val="微软雅黑"/>
        <charset val="1"/>
      </rPr>
      <t>79/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17</t>
    </r>
  </si>
  <si>
    <r>
      <rPr>
        <sz val="10"/>
        <rFont val="微软雅黑"/>
        <charset val="1"/>
      </rPr>
      <t xml:space="preserve">90+ </t>
    </r>
    <r>
      <rPr>
        <sz val="10"/>
        <rFont val="Noto Sans CJK SC"/>
        <charset val="134"/>
      </rPr>
      <t>原创生物填充世界生态，兼顾趣味与实用（骨蟒、诡异蚊鬼等）。</t>
    </r>
  </si>
  <si>
    <r>
      <rPr>
        <sz val="10"/>
        <rFont val="微软雅黑"/>
        <charset val="1"/>
      </rPr>
      <t xml:space="preserve">EEEAB </t>
    </r>
    <r>
      <rPr>
        <sz val="10"/>
        <rFont val="Noto Sans CJK SC"/>
        <charset val="134"/>
      </rPr>
      <t>生物（</t>
    </r>
    <r>
      <rPr>
        <sz val="10"/>
        <rFont val="微软雅黑"/>
        <charset val="1"/>
      </rPr>
      <t>EEEAB's Mobs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</si>
  <si>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7/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18</t>
    </r>
  </si>
  <si>
    <r>
      <rPr>
        <sz val="10"/>
        <rFont val="Noto Sans CJK SC"/>
        <charset val="134"/>
      </rPr>
      <t>高难度挑战生物：无名守卫者、不朽者等精英</t>
    </r>
    <r>
      <rPr>
        <sz val="10"/>
        <rFont val="微软雅黑"/>
        <charset val="1"/>
      </rPr>
      <t>/Boss</t>
    </r>
    <r>
      <rPr>
        <sz val="10"/>
        <rFont val="Noto Sans CJK SC"/>
        <charset val="134"/>
      </rPr>
      <t>，模型动画与机制质量极高，精英战内容。</t>
    </r>
  </si>
  <si>
    <r>
      <rPr>
        <sz val="10"/>
        <rFont val="Noto Sans CJK SC"/>
        <charset val="134"/>
      </rPr>
      <t>血源诅咒（</t>
    </r>
    <r>
      <rPr>
        <sz val="10"/>
        <rFont val="微软雅黑"/>
        <charset val="1"/>
      </rPr>
      <t>Blood And Madness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</si>
  <si>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16/Boss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4/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17</t>
    </r>
  </si>
  <si>
    <r>
      <rPr>
        <sz val="10"/>
        <rFont val="Noto Sans CJK SC"/>
        <charset val="134"/>
      </rPr>
      <t>血源同人模组：密寇赖许（</t>
    </r>
    <r>
      <rPr>
        <sz val="10"/>
        <rFont val="微软雅黑"/>
        <charset val="1"/>
      </rPr>
      <t xml:space="preserve">1500 </t>
    </r>
    <r>
      <rPr>
        <sz val="10"/>
        <rFont val="Noto Sans CJK SC"/>
        <charset val="134"/>
      </rPr>
      <t xml:space="preserve">血，全包实血第一）、加斯科因神父、圣职野兽等原作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，锯齿猎刀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千阴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神圣月光等原作武器与血之回响体系。黑魂章节重点。</t>
    </r>
  </si>
  <si>
    <r>
      <rPr>
        <sz val="10"/>
        <rFont val="微软雅黑"/>
        <charset val="1"/>
      </rPr>
      <t>Jerotes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jerotes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</si>
  <si>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55/</t>
    </r>
    <r>
      <rPr>
        <sz val="10"/>
        <rFont val="Noto Sans CJK SC"/>
        <charset val="134"/>
      </rPr>
      <t>中立</t>
    </r>
    <r>
      <rPr>
        <sz val="10"/>
        <rFont val="微软雅黑"/>
        <charset val="1"/>
      </rPr>
      <t>13</t>
    </r>
  </si>
  <si>
    <r>
      <rPr>
        <sz val="10"/>
        <rFont val="微软雅黑"/>
        <charset val="1"/>
      </rPr>
      <t xml:space="preserve">Jerotes </t>
    </r>
    <r>
      <rPr>
        <sz val="10"/>
        <rFont val="Noto Sans CJK SC"/>
        <charset val="134"/>
      </rPr>
      <t>系列主仓：梅尔细剑（</t>
    </r>
    <r>
      <rPr>
        <sz val="10"/>
        <rFont val="微软雅黑"/>
        <charset val="1"/>
      </rPr>
      <t xml:space="preserve">DPS </t>
    </r>
    <r>
      <rPr>
        <sz val="10"/>
        <rFont val="Noto Sans CJK SC"/>
        <charset val="134"/>
      </rPr>
      <t>榜前列）等高强度武器与精英生物。</t>
    </r>
  </si>
  <si>
    <r>
      <rPr>
        <sz val="10"/>
        <rFont val="微软雅黑"/>
        <charset val="1"/>
      </rPr>
      <t xml:space="preserve">Mowzie </t>
    </r>
    <r>
      <rPr>
        <sz val="10"/>
        <rFont val="Noto Sans CJK SC"/>
        <charset val="134"/>
      </rPr>
      <t>的生物（</t>
    </r>
    <r>
      <rPr>
        <sz val="10"/>
        <rFont val="微软雅黑"/>
        <charset val="1"/>
      </rPr>
      <t>Mowzie's Mobs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</si>
  <si>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16/Boss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3</t>
    </r>
  </si>
  <si>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 xml:space="preserve">设计教科书：钢铁守护者、霜冻巨兽、太阳鸟乌姆武提，每个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 xml:space="preserve">机制精巧、动画顶尖，配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兼容数据包使用。</t>
    </r>
  </si>
  <si>
    <r>
      <rPr>
        <sz val="10"/>
        <rFont val="Noto Sans CJK SC"/>
        <charset val="134"/>
      </rPr>
      <t>怪物扩展（</t>
    </r>
    <r>
      <rPr>
        <sz val="10"/>
        <rFont val="微软雅黑"/>
        <charset val="1"/>
      </rPr>
      <t>Monster Expansion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</si>
  <si>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18/Boss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6</t>
    </r>
  </si>
  <si>
    <r>
      <rPr>
        <sz val="10"/>
        <rFont val="微软雅黑"/>
        <charset val="1"/>
      </rPr>
      <t>"</t>
    </r>
    <r>
      <rPr>
        <sz val="10"/>
        <rFont val="Noto Sans CJK SC"/>
        <charset val="134"/>
      </rPr>
      <t>真正史诗感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的怪物与精英怪，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风格原生设计（自带翻滚机制）。</t>
    </r>
  </si>
  <si>
    <t>Bosses'Rise</t>
  </si>
  <si>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12/Boss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4</t>
    </r>
  </si>
  <si>
    <r>
      <rPr>
        <sz val="10"/>
        <rFont val="Noto Sans CJK SC"/>
        <charset val="134"/>
      </rPr>
      <t xml:space="preserve">世界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合集：海盗船长、霜冻雪怪斯科尔等，各有独特技能与掉落。</t>
    </r>
  </si>
  <si>
    <r>
      <rPr>
        <sz val="10"/>
        <rFont val="Noto Sans CJK SC"/>
        <charset val="134"/>
      </rPr>
      <t>圣龙（</t>
    </r>
    <r>
      <rPr>
        <sz val="10"/>
        <rFont val="微软雅黑"/>
        <charset val="1"/>
      </rPr>
      <t>Saint's Dragons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</si>
  <si>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中立</t>
    </r>
    <r>
      <rPr>
        <sz val="10"/>
        <rFont val="微软雅黑"/>
        <charset val="1"/>
      </rPr>
      <t>10/Boss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6</t>
    </r>
  </si>
  <si>
    <t>高质量龙类生物：多种可战可驯的龙，模型动画全包顶尖。</t>
  </si>
  <si>
    <t>Souls Like Bosses</t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</si>
  <si>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1</t>
    </r>
  </si>
  <si>
    <r>
      <rPr>
        <sz val="10"/>
        <rFont val="微软雅黑"/>
        <charset val="1"/>
      </rPr>
      <t>"</t>
    </r>
    <r>
      <rPr>
        <sz val="10"/>
        <rFont val="Noto Sans CJK SC"/>
        <charset val="134"/>
      </rPr>
      <t>夜王</t>
    </r>
    <r>
      <rPr>
        <sz val="10"/>
        <rFont val="微软雅黑"/>
        <charset val="1"/>
      </rPr>
      <t xml:space="preserve">"Boss + </t>
    </r>
    <r>
      <rPr>
        <sz val="10"/>
        <rFont val="Noto Sans CJK SC"/>
        <charset val="134"/>
      </rPr>
      <t xml:space="preserve">专属武器掉落 </t>
    </r>
    <r>
      <rPr>
        <sz val="10"/>
        <rFont val="微软雅黑"/>
        <charset val="1"/>
      </rPr>
      <t xml:space="preserve">+ </t>
    </r>
    <r>
      <rPr>
        <sz val="10"/>
        <rFont val="Noto Sans CJK SC"/>
        <charset val="134"/>
      </rPr>
      <t xml:space="preserve">海洋群系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竞技场（黑夜君临主题）。</t>
    </r>
  </si>
  <si>
    <r>
      <rPr>
        <sz val="10"/>
        <rFont val="Noto Sans CJK SC"/>
        <charset val="134"/>
      </rPr>
      <t>天空竞技场（</t>
    </r>
    <r>
      <rPr>
        <sz val="10"/>
        <rFont val="微软雅黑"/>
        <charset val="1"/>
      </rPr>
      <t>Sky Arena</t>
    </r>
    <r>
      <rPr>
        <sz val="10"/>
        <rFont val="Noto Sans CJK SC"/>
        <charset val="134"/>
      </rPr>
      <t>）</t>
    </r>
  </si>
  <si>
    <t>竞技内容</t>
  </si>
  <si>
    <r>
      <rPr>
        <sz val="10"/>
        <rFont val="Noto Sans CJK SC"/>
        <charset val="134"/>
      </rPr>
      <t xml:space="preserve">用各色钥匙在战斗祭坛召唤挑战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赢奖牌，自选节奏的挑战玩法。</t>
    </r>
  </si>
  <si>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清单（</t>
    </r>
    <r>
      <rPr>
        <sz val="10"/>
        <rFont val="微软雅黑"/>
        <charset val="1"/>
      </rPr>
      <t>Boss Checklist</t>
    </r>
    <r>
      <rPr>
        <sz val="10"/>
        <rFont val="Noto Sans CJK SC"/>
        <charset val="134"/>
      </rPr>
      <t>）</t>
    </r>
  </si>
  <si>
    <t>图鉴</t>
  </si>
  <si>
    <r>
      <rPr>
        <sz val="10"/>
        <rFont val="Noto Sans CJK SC"/>
        <charset val="134"/>
      </rPr>
      <t xml:space="preserve">游戏内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图鉴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清单，</t>
    </r>
    <r>
      <rPr>
        <sz val="10"/>
        <rFont val="微软雅黑"/>
        <charset val="1"/>
      </rPr>
      <t xml:space="preserve">502 </t>
    </r>
    <r>
      <rPr>
        <sz val="10"/>
        <rFont val="Noto Sans CJK SC"/>
        <charset val="134"/>
      </rPr>
      <t>条文本已全部汉化，玩家对照进度的工具。</t>
    </r>
  </si>
  <si>
    <r>
      <rPr>
        <sz val="10"/>
        <rFont val="Noto Sans CJK SC"/>
        <charset val="134"/>
      </rPr>
      <t>铁魔法（</t>
    </r>
    <r>
      <rPr>
        <sz val="10"/>
        <rFont val="微软雅黑"/>
        <charset val="1"/>
      </rPr>
      <t>Iron's Spells 'n Spellbooks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</si>
  <si>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14/</t>
    </r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17</t>
    </r>
  </si>
  <si>
    <r>
      <rPr>
        <sz val="10"/>
        <rFont val="Noto Sans CJK SC"/>
        <charset val="134"/>
      </rPr>
      <t xml:space="preserve">与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并行的第二战斗成长线：法术卷轴、魔法书、学派法力值，死者之王、原初受火者等魔法侧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。</t>
    </r>
  </si>
  <si>
    <r>
      <rPr>
        <sz val="10"/>
        <rFont val="微软雅黑"/>
        <charset val="1"/>
      </rPr>
      <t>EpicFight Nightfall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EFN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</si>
  <si>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34/</t>
    </r>
    <r>
      <rPr>
        <sz val="10"/>
        <rFont val="Noto Sans CJK SC"/>
        <charset val="134"/>
      </rPr>
      <t>中立</t>
    </r>
    <r>
      <rPr>
        <sz val="10"/>
        <rFont val="微软雅黑"/>
        <charset val="1"/>
      </rPr>
      <t>16</t>
    </r>
  </si>
  <si>
    <r>
      <rPr>
        <sz val="10"/>
        <rFont val="Noto Sans CJK SC"/>
        <charset val="134"/>
      </rPr>
      <t xml:space="preserve">大型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内容附属，接近小型 </t>
    </r>
    <r>
      <rPr>
        <sz val="10"/>
        <rFont val="微软雅黑"/>
        <charset val="1"/>
      </rPr>
      <t>DLC</t>
    </r>
    <r>
      <rPr>
        <sz val="10"/>
        <rFont val="Noto Sans CJK SC"/>
        <charset val="134"/>
      </rPr>
      <t xml:space="preserve">：新武器、新机制、新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 xml:space="preserve">，配 </t>
    </r>
    <r>
      <rPr>
        <sz val="10"/>
        <rFont val="微软雅黑"/>
        <charset val="1"/>
      </rPr>
      <t xml:space="preserve">nightfall_invade </t>
    </r>
    <r>
      <rPr>
        <sz val="10"/>
        <rFont val="Noto Sans CJK SC"/>
        <charset val="134"/>
      </rPr>
      <t>入侵事件。</t>
    </r>
  </si>
  <si>
    <r>
      <rPr>
        <sz val="10"/>
        <rFont val="微软雅黑"/>
        <charset val="1"/>
      </rPr>
      <t xml:space="preserve">Nightfall </t>
    </r>
    <r>
      <rPr>
        <sz val="10"/>
        <rFont val="Noto Sans CJK SC"/>
        <charset val="134"/>
      </rPr>
      <t>入侵（</t>
    </r>
    <r>
      <rPr>
        <sz val="10"/>
        <rFont val="微软雅黑"/>
        <charset val="1"/>
      </rPr>
      <t>nightfall_invade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</si>
  <si>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3</t>
    </r>
  </si>
  <si>
    <r>
      <rPr>
        <sz val="10"/>
        <rFont val="微软雅黑"/>
        <charset val="1"/>
      </rPr>
      <t xml:space="preserve">EFN </t>
    </r>
    <r>
      <rPr>
        <sz val="10"/>
        <rFont val="Noto Sans CJK SC"/>
        <charset val="134"/>
      </rPr>
      <t xml:space="preserve">阵营入侵事件与入侵 </t>
    </r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。</t>
    </r>
  </si>
  <si>
    <r>
      <rPr>
        <sz val="10"/>
        <rFont val="Noto Sans CJK SC"/>
        <charset val="134"/>
      </rPr>
      <t>匠魂（</t>
    </r>
    <r>
      <rPr>
        <sz val="10"/>
        <rFont val="微软雅黑"/>
        <charset val="1"/>
      </rPr>
      <t>Tinkers' Construct</t>
    </r>
    <r>
      <rPr>
        <sz val="10"/>
        <rFont val="Noto Sans CJK SC"/>
        <charset val="134"/>
      </rPr>
      <t>）</t>
    </r>
    <r>
      <rPr>
        <sz val="10"/>
        <rFont val="微软雅黑"/>
        <charset val="1"/>
      </rPr>
      <t>+ Mantle</t>
    </r>
  </si>
  <si>
    <t>装备打造</t>
  </si>
  <si>
    <r>
      <rPr>
        <sz val="10"/>
        <rFont val="微软雅黑"/>
        <charset val="1"/>
      </rPr>
      <t>**</t>
    </r>
    <r>
      <rPr>
        <sz val="10"/>
        <rFont val="Noto Sans CJK SC"/>
        <charset val="134"/>
      </rPr>
      <t>装备成长另一主干</t>
    </r>
    <r>
      <rPr>
        <sz val="10"/>
        <rFont val="微软雅黑"/>
        <charset val="1"/>
      </rPr>
      <t>**</t>
    </r>
    <r>
      <rPr>
        <sz val="10"/>
        <rFont val="Noto Sans CJK SC"/>
        <charset val="134"/>
      </rPr>
      <t>。冶炼炉、模块化工具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武器、部件强化词条；配合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 xml:space="preserve">打完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给当前强度匠魂材料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的任务奖励线，是毕业装备的生产系统。</t>
    </r>
  </si>
  <si>
    <t>Terralith</t>
  </si>
  <si>
    <t>群系近百</t>
  </si>
  <si>
    <t>纯原版方块生成近百个新群系，主世界地貌质变，探索体验底座。</t>
  </si>
  <si>
    <t>B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</si>
  <si>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附属体系</t>
    </r>
  </si>
  <si>
    <r>
      <rPr>
        <sz val="10"/>
        <rFont val="微软雅黑"/>
        <charset val="1"/>
      </rPr>
      <t>EF-Resurrection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cdmoveset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</si>
  <si>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41</t>
    </r>
  </si>
  <si>
    <r>
      <rPr>
        <sz val="10"/>
        <rFont val="Noto Sans CJK SC"/>
        <charset val="134"/>
      </rPr>
      <t xml:space="preserve">国产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大型附属，更多机制与武器。</t>
    </r>
  </si>
  <si>
    <r>
      <rPr>
        <sz val="10"/>
        <rFont val="微软雅黑"/>
        <charset val="1"/>
      </rPr>
      <t>Weapons of Miracle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WoM</t>
    </r>
    <r>
      <rPr>
        <sz val="10"/>
        <rFont val="Noto Sans CJK SC"/>
        <charset val="134"/>
      </rPr>
      <t>，奇迹武器）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</si>
  <si>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28/</t>
    </r>
    <r>
      <rPr>
        <sz val="10"/>
        <rFont val="Noto Sans CJK SC"/>
        <charset val="134"/>
      </rPr>
      <t>敌对</t>
    </r>
    <r>
      <rPr>
        <sz val="10"/>
        <rFont val="微软雅黑"/>
        <charset val="1"/>
      </rPr>
      <t>4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</si>
  <si>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最著名武器附属：永恒之枪、断钢等来自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另一个现实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的传奇武器，独立招式技能动画，中后期武器库主力。</t>
    </r>
  </si>
  <si>
    <t>EpicFight Awaken</t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</si>
  <si>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4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</si>
  <si>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附属，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无人知晓的故事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，新武器与内容。</t>
    </r>
  </si>
  <si>
    <t>WoM Plus</t>
  </si>
  <si>
    <t>招式补全</t>
  </si>
  <si>
    <r>
      <rPr>
        <sz val="10"/>
        <rFont val="Noto Sans CJK SC"/>
        <charset val="134"/>
      </rPr>
      <t xml:space="preserve">补全 </t>
    </r>
    <r>
      <rPr>
        <sz val="10"/>
        <rFont val="微软雅黑"/>
        <charset val="1"/>
      </rPr>
      <t xml:space="preserve">WoM </t>
    </r>
    <r>
      <rPr>
        <sz val="10"/>
        <rFont val="Noto Sans CJK SC"/>
        <charset val="134"/>
      </rPr>
      <t>遗留武器的招式。</t>
    </r>
  </si>
  <si>
    <t>WOC: Remastered</t>
  </si>
  <si>
    <r>
      <rPr>
        <sz val="10"/>
        <rFont val="微软雅黑"/>
        <charset val="1"/>
      </rPr>
      <t>Boss</t>
    </r>
    <r>
      <rPr>
        <sz val="10"/>
        <rFont val="Noto Sans CJK SC"/>
        <charset val="134"/>
      </rPr>
      <t>级</t>
    </r>
    <r>
      <rPr>
        <sz val="10"/>
        <rFont val="微软雅黑"/>
        <charset val="1"/>
      </rPr>
      <t>2</t>
    </r>
  </si>
  <si>
    <r>
      <rPr>
        <sz val="10"/>
        <rFont val="Noto Sans CJK SC"/>
        <charset val="134"/>
      </rPr>
      <t xml:space="preserve">灾变武器招式重制：让玩家使用焰魔、利维坦等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的招牌招式。</t>
    </r>
  </si>
  <si>
    <r>
      <rPr>
        <sz val="10"/>
        <rFont val="Noto Sans CJK SC"/>
        <charset val="134"/>
      </rPr>
      <t>剑仙（</t>
    </r>
    <r>
      <rPr>
        <sz val="10"/>
        <rFont val="微软雅黑"/>
        <charset val="1"/>
      </rPr>
      <t>Sword Soaring</t>
    </r>
    <r>
      <rPr>
        <sz val="10"/>
        <rFont val="Noto Sans CJK SC"/>
        <charset val="134"/>
      </rPr>
      <t>）</t>
    </r>
  </si>
  <si>
    <t>御剑体系</t>
  </si>
  <si>
    <r>
      <rPr>
        <sz val="10"/>
        <rFont val="Noto Sans CJK SC"/>
        <charset val="134"/>
      </rPr>
      <t>御剑飞行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仙侠风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附属，飞剑类武器与招式（</t>
    </r>
    <r>
      <rPr>
        <sz val="10"/>
        <rFont val="微软雅黑"/>
        <charset val="1"/>
      </rPr>
      <t xml:space="preserve">Vatansever </t>
    </r>
    <r>
      <rPr>
        <sz val="10"/>
        <rFont val="Noto Sans CJK SC"/>
        <charset val="134"/>
      </rPr>
      <t>等顶强武器）。</t>
    </r>
  </si>
  <si>
    <r>
      <rPr>
        <sz val="10"/>
        <rFont val="Noto Sans CJK SC"/>
        <charset val="134"/>
      </rPr>
      <t>悟空招式（</t>
    </r>
    <r>
      <rPr>
        <sz val="10"/>
        <rFont val="微软雅黑"/>
        <charset val="1"/>
      </rPr>
      <t>Wukong Moveset Compact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</si>
  <si>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黑神话悟空招式非官方移植：如意金箍棒、劈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戳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立三棍式、聚形散气等法术，大圣套四件。</t>
    </r>
  </si>
  <si>
    <r>
      <rPr>
        <sz val="10"/>
        <rFont val="Noto Sans CJK SC"/>
        <charset val="134"/>
      </rPr>
      <t xml:space="preserve">刺剑 </t>
    </r>
    <r>
      <rPr>
        <sz val="10"/>
        <rFont val="微软雅黑"/>
        <charset val="1"/>
      </rPr>
      <t>EFM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refm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</si>
  <si>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武器</t>
    </r>
    <r>
      <rPr>
        <sz val="10"/>
        <rFont val="微软雅黑"/>
        <charset val="1"/>
      </rPr>
      <t>8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</si>
  <si>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刺剑武器类型与优雅连段。</t>
    </r>
  </si>
  <si>
    <r>
      <rPr>
        <sz val="10"/>
        <rFont val="微软雅黑"/>
        <charset val="1"/>
      </rPr>
      <t>EF Extra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epicfightx</t>
    </r>
    <r>
      <rPr>
        <sz val="10"/>
        <rFont val="Noto Sans CJK SC"/>
        <charset val="134"/>
      </rPr>
      <t>）</t>
    </r>
  </si>
  <si>
    <t>动画库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</si>
  <si>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额外动画与技能包，多个附属引用它的动画。</t>
    </r>
  </si>
  <si>
    <r>
      <rPr>
        <sz val="10"/>
        <rFont val="微软雅黑"/>
        <charset val="1"/>
      </rPr>
      <t xml:space="preserve">P1nero </t>
    </r>
    <r>
      <rPr>
        <sz val="10"/>
        <rFont val="Noto Sans CJK SC"/>
        <charset val="134"/>
      </rPr>
      <t>灾变联动（</t>
    </r>
    <r>
      <rPr>
        <sz val="10"/>
        <rFont val="微软雅黑"/>
        <charset val="1"/>
      </rPr>
      <t>p1nero_ec</t>
    </r>
    <r>
      <rPr>
        <sz val="10"/>
        <rFont val="Noto Sans CJK SC"/>
        <charset val="134"/>
      </rPr>
      <t>）</t>
    </r>
  </si>
  <si>
    <t>联动</t>
  </si>
  <si>
    <r>
      <rPr>
        <sz val="10"/>
        <rFont val="微软雅黑"/>
        <charset val="1"/>
      </rPr>
      <t xml:space="preserve">EF × </t>
    </r>
    <r>
      <rPr>
        <sz val="10"/>
        <rFont val="Noto Sans CJK SC"/>
        <charset val="134"/>
      </rPr>
      <t>灾变武器。</t>
    </r>
  </si>
  <si>
    <r>
      <rPr>
        <sz val="10"/>
        <rFont val="微软雅黑"/>
        <charset val="1"/>
      </rPr>
      <t xml:space="preserve">P1nero </t>
    </r>
    <r>
      <rPr>
        <sz val="10"/>
        <rFont val="Noto Sans CJK SC"/>
        <charset val="134"/>
      </rPr>
      <t>弓（</t>
    </r>
    <r>
      <rPr>
        <sz val="10"/>
        <rFont val="微软雅黑"/>
        <charset val="1"/>
      </rPr>
      <t>p1nero_bow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</si>
  <si>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战斗模式弓箭动画。</t>
    </r>
  </si>
  <si>
    <r>
      <rPr>
        <sz val="10"/>
        <rFont val="Noto Sans CJK SC"/>
        <charset val="134"/>
      </rPr>
      <t>弯刀招式（</t>
    </r>
    <r>
      <rPr>
        <sz val="10"/>
        <rFont val="微软雅黑"/>
        <charset val="1"/>
      </rPr>
      <t>falchionmoveset</t>
    </r>
    <r>
      <rPr>
        <sz val="10"/>
        <rFont val="Noto Sans CJK SC"/>
        <charset val="134"/>
      </rPr>
      <t>）</t>
    </r>
  </si>
  <si>
    <t>招式</t>
  </si>
  <si>
    <t>弯刀类武器动作组。</t>
  </si>
  <si>
    <r>
      <rPr>
        <sz val="10"/>
        <rFont val="微软雅黑"/>
        <charset val="1"/>
      </rPr>
      <t>EF Invincible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invincible</t>
    </r>
    <r>
      <rPr>
        <sz val="10"/>
        <rFont val="Noto Sans CJK SC"/>
        <charset val="134"/>
      </rPr>
      <t>）</t>
    </r>
  </si>
  <si>
    <t>库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</si>
  <si>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连招武器开发库，多个武器附属的前置。</t>
    </r>
  </si>
  <si>
    <t>Combat Evolution</t>
  </si>
  <si>
    <r>
      <rPr>
        <sz val="10"/>
        <rFont val="微软雅黑"/>
        <charset val="1"/>
      </rPr>
      <t xml:space="preserve">AI </t>
    </r>
    <r>
      <rPr>
        <sz val="10"/>
        <rFont val="Noto Sans CJK SC"/>
        <charset val="134"/>
      </rPr>
      <t>库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</si>
  <si>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怪物 </t>
    </r>
    <r>
      <rPr>
        <sz val="10"/>
        <rFont val="微软雅黑"/>
        <charset val="1"/>
      </rPr>
      <t xml:space="preserve">AI </t>
    </r>
    <r>
      <rPr>
        <sz val="10"/>
        <rFont val="Noto Sans CJK SC"/>
        <charset val="134"/>
      </rPr>
      <t>库</t>
    </r>
    <r>
      <rPr>
        <sz val="10"/>
        <rFont val="微软雅黑"/>
        <charset val="1"/>
      </rPr>
      <t xml:space="preserve">+`ce_mobpatch` </t>
    </r>
    <r>
      <rPr>
        <sz val="10"/>
        <rFont val="Noto Sans CJK SC"/>
        <charset val="134"/>
      </rPr>
      <t xml:space="preserve">数据加载器，让生物使用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式战斗。</t>
    </r>
  </si>
  <si>
    <t>EF Mobs Plus</t>
  </si>
  <si>
    <t>怪物增强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</si>
  <si>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风怪物增强 </t>
    </r>
    <r>
      <rPr>
        <sz val="10"/>
        <rFont val="微软雅黑"/>
        <charset val="1"/>
      </rPr>
      <t xml:space="preserve">mixin </t>
    </r>
    <r>
      <rPr>
        <sz val="10"/>
        <rFont val="Noto Sans CJK SC"/>
        <charset val="134"/>
      </rPr>
      <t>包（</t>
    </r>
    <r>
      <rPr>
        <sz val="10"/>
        <rFont val="微软雅黑"/>
        <charset val="1"/>
      </rPr>
      <t xml:space="preserve">IF </t>
    </r>
    <r>
      <rPr>
        <sz val="10"/>
        <rFont val="Noto Sans CJK SC"/>
        <charset val="134"/>
      </rPr>
      <t>同款）。</t>
    </r>
  </si>
  <si>
    <t>Super Warden</t>
  </si>
  <si>
    <t>Boss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</si>
  <si>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化超级监守者，深邃古城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战。</t>
    </r>
  </si>
  <si>
    <r>
      <rPr>
        <sz val="10"/>
        <rFont val="Noto Sans CJK SC"/>
        <charset val="134"/>
      </rPr>
      <t xml:space="preserve">暮色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兼容（</t>
    </r>
    <r>
      <rPr>
        <sz val="10"/>
        <rFont val="微软雅黑"/>
        <charset val="1"/>
      </rPr>
      <t>TwilightForestEFCompat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</si>
  <si>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 xml:space="preserve">暮色武器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招式化 </t>
    </r>
    <r>
      <rPr>
        <sz val="10"/>
        <rFont val="微软雅黑"/>
        <charset val="1"/>
      </rPr>
      <t xml:space="preserve">+ </t>
    </r>
    <r>
      <rPr>
        <sz val="10"/>
        <rFont val="Noto Sans CJK SC"/>
        <charset val="134"/>
      </rPr>
      <t>战斗权杖扩展。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</si>
  <si>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匠魂兼容（</t>
    </r>
    <r>
      <rPr>
        <sz val="10"/>
        <rFont val="微软雅黑"/>
        <charset val="1"/>
      </rPr>
      <t>EpicFightTinkerCompat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</si>
  <si>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 xml:space="preserve">匠魂工具在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战斗模式的动作桥，两条装备线的焊点。</t>
    </r>
  </si>
  <si>
    <r>
      <rPr>
        <sz val="10"/>
        <rFont val="Noto Sans CJK SC"/>
        <charset val="134"/>
      </rPr>
      <t>传奇怪物武器联动（</t>
    </r>
    <r>
      <rPr>
        <sz val="10"/>
        <rFont val="微软雅黑"/>
        <charset val="1"/>
      </rPr>
      <t>wolm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</si>
  <si>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 xml:space="preserve">传奇怪物 </t>
    </r>
    <r>
      <rPr>
        <sz val="10"/>
        <rFont val="微软雅黑"/>
        <charset val="1"/>
      </rPr>
      <t>× EF/WoM/</t>
    </r>
    <r>
      <rPr>
        <sz val="10"/>
        <rFont val="Noto Sans CJK SC"/>
        <charset val="134"/>
      </rPr>
      <t>刺剑招式。</t>
    </r>
  </si>
  <si>
    <t>CompatLink</t>
  </si>
  <si>
    <t>联动框架</t>
  </si>
  <si>
    <r>
      <rPr>
        <sz val="10"/>
        <rFont val="Noto Sans CJK SC"/>
        <charset val="134"/>
      </rPr>
      <t xml:space="preserve">纯 </t>
    </r>
    <r>
      <rPr>
        <sz val="10"/>
        <rFont val="微软雅黑"/>
        <charset val="1"/>
      </rPr>
      <t xml:space="preserve">JSON </t>
    </r>
    <r>
      <rPr>
        <sz val="10"/>
        <rFont val="Noto Sans CJK SC"/>
        <charset val="134"/>
      </rPr>
      <t xml:space="preserve">给任意 </t>
    </r>
    <r>
      <rPr>
        <sz val="10"/>
        <rFont val="微软雅黑"/>
        <charset val="1"/>
      </rPr>
      <t xml:space="preserve">mod </t>
    </r>
    <r>
      <rPr>
        <sz val="10"/>
        <rFont val="Noto Sans CJK SC"/>
        <charset val="134"/>
      </rPr>
      <t xml:space="preserve">武器映射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招式的数据驱动兼容层。</t>
    </r>
  </si>
  <si>
    <r>
      <rPr>
        <sz val="10"/>
        <rFont val="微软雅黑"/>
        <charset val="1"/>
      </rPr>
      <t xml:space="preserve">EFM </t>
    </r>
    <r>
      <rPr>
        <sz val="10"/>
        <rFont val="Noto Sans CJK SC"/>
        <charset val="134"/>
      </rPr>
      <t>武器兼容（</t>
    </r>
    <r>
      <rPr>
        <sz val="10"/>
        <rFont val="微软雅黑"/>
        <charset val="1"/>
      </rPr>
      <t>EFMCompat</t>
    </r>
    <r>
      <rPr>
        <sz val="10"/>
        <rFont val="Noto Sans CJK SC"/>
        <charset val="134"/>
      </rPr>
      <t>）</t>
    </r>
  </si>
  <si>
    <t>数据包</t>
  </si>
  <si>
    <r>
      <rPr>
        <sz val="10"/>
        <rFont val="Noto Sans CJK SC"/>
        <charset val="134"/>
      </rPr>
      <t>简易刀剑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史诗骑士等武器皮肤与招式兼容数据包。</t>
    </r>
  </si>
  <si>
    <t>Lazy Utilities</t>
  </si>
  <si>
    <t>垫片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</si>
  <si>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 xml:space="preserve">旧版 </t>
    </r>
    <r>
      <rPr>
        <sz val="10"/>
        <rFont val="微软雅黑"/>
        <charset val="1"/>
      </rPr>
      <t xml:space="preserve">API </t>
    </r>
    <r>
      <rPr>
        <sz val="10"/>
        <rFont val="Noto Sans CJK SC"/>
        <charset val="134"/>
      </rPr>
      <t xml:space="preserve">垫片层（含 </t>
    </r>
    <r>
      <rPr>
        <sz val="10"/>
        <rFont val="微软雅黑"/>
        <charset val="1"/>
      </rPr>
      <t xml:space="preserve">LZM </t>
    </r>
    <r>
      <rPr>
        <sz val="10"/>
        <rFont val="Noto Sans CJK SC"/>
        <charset val="134"/>
      </rPr>
      <t xml:space="preserve">元素体系），保障旧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附属运行。</t>
    </r>
  </si>
  <si>
    <t>Indestructible</t>
  </si>
  <si>
    <r>
      <rPr>
        <sz val="10"/>
        <rFont val="Noto Sans CJK SC"/>
        <charset val="134"/>
      </rPr>
      <t>机制</t>
    </r>
    <r>
      <rPr>
        <sz val="10"/>
        <rFont val="微软雅黑"/>
        <charset val="1"/>
      </rPr>
      <t>+</t>
    </r>
    <r>
      <rPr>
        <sz val="10"/>
        <rFont val="Noto Sans CJK SC"/>
        <charset val="134"/>
      </rPr>
      <t>加载器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</si>
  <si>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霸体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格挡扩展，提供 </t>
    </r>
    <r>
      <rPr>
        <sz val="10"/>
        <rFont val="微软雅黑"/>
        <charset val="1"/>
      </rPr>
      <t xml:space="preserve">`advanced_mobpatch` </t>
    </r>
    <r>
      <rPr>
        <sz val="10"/>
        <rFont val="Noto Sans CJK SC"/>
        <charset val="134"/>
      </rPr>
      <t xml:space="preserve">加载器（生物 </t>
    </r>
    <r>
      <rPr>
        <sz val="10"/>
        <rFont val="微软雅黑"/>
        <charset val="1"/>
      </rPr>
      <t xml:space="preserve">Boss EF </t>
    </r>
    <r>
      <rPr>
        <sz val="10"/>
        <rFont val="Noto Sans CJK SC"/>
        <charset val="134"/>
      </rPr>
      <t>化的关键设施）。</t>
    </r>
  </si>
  <si>
    <t>EF Avalon</t>
  </si>
  <si>
    <r>
      <rPr>
        <sz val="10"/>
        <rFont val="Noto Sans CJK SC"/>
        <charset val="134"/>
      </rPr>
      <t>动画</t>
    </r>
    <r>
      <rPr>
        <sz val="10"/>
        <rFont val="微软雅黑"/>
        <charset val="1"/>
      </rPr>
      <t>/VFX</t>
    </r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</si>
  <si>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动画特效附属库（</t>
    </r>
    <r>
      <rPr>
        <sz val="10"/>
        <rFont val="微软雅黑"/>
        <charset val="1"/>
      </rPr>
      <t xml:space="preserve">Super Warden </t>
    </r>
    <r>
      <rPr>
        <sz val="10"/>
        <rFont val="Noto Sans CJK SC"/>
        <charset val="134"/>
      </rPr>
      <t>前置）。</t>
    </r>
  </si>
  <si>
    <t>Better Lock On</t>
  </si>
  <si>
    <t>锁定</t>
  </si>
  <si>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锁定图标美化与锁定系统增强。</t>
    </r>
  </si>
  <si>
    <t>C</t>
  </si>
  <si>
    <r>
      <rPr>
        <sz val="10"/>
        <rFont val="Noto Sans CJK SC"/>
        <charset val="134"/>
      </rPr>
      <t>装备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成长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玩法系统</t>
    </r>
  </si>
  <si>
    <r>
      <rPr>
        <sz val="10"/>
        <rFont val="微软雅黑"/>
        <charset val="1"/>
      </rPr>
      <t xml:space="preserve">WoW </t>
    </r>
    <r>
      <rPr>
        <sz val="10"/>
        <rFont val="Noto Sans CJK SC"/>
        <charset val="134"/>
      </rPr>
      <t>武器盔甲（</t>
    </r>
    <r>
      <rPr>
        <sz val="10"/>
        <rFont val="微软雅黑"/>
        <charset val="1"/>
      </rPr>
      <t>w_o_w_armors_and_weapons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</si>
  <si>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 xml:space="preserve">Warriors of World </t>
    </r>
    <r>
      <rPr>
        <sz val="10"/>
        <rFont val="Noto Sans CJK SC"/>
        <charset val="134"/>
      </rPr>
      <t xml:space="preserve">官方无 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依赖变体：光明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黑暗武士、吕布等 </t>
    </r>
    <r>
      <rPr>
        <sz val="10"/>
        <rFont val="微软雅黑"/>
        <charset val="1"/>
      </rPr>
      <t xml:space="preserve">13 </t>
    </r>
    <r>
      <rPr>
        <sz val="10"/>
        <rFont val="Noto Sans CJK SC"/>
        <charset val="134"/>
      </rPr>
      <t xml:space="preserve">武器 </t>
    </r>
    <r>
      <rPr>
        <sz val="10"/>
        <rFont val="微软雅黑"/>
        <charset val="1"/>
      </rPr>
      <t xml:space="preserve">+ </t>
    </r>
    <r>
      <rPr>
        <sz val="10"/>
        <rFont val="Noto Sans CJK SC"/>
        <charset val="134"/>
      </rPr>
      <t>主题盔甲套。</t>
    </r>
  </si>
  <si>
    <t>Tinkers Reforged</t>
  </si>
  <si>
    <r>
      <rPr>
        <sz val="10"/>
        <rFont val="Noto Sans CJK SC"/>
        <charset val="134"/>
      </rPr>
      <t xml:space="preserve">匠魂大型新材料附属，含对常见 </t>
    </r>
    <r>
      <rPr>
        <sz val="10"/>
        <rFont val="微软雅黑"/>
        <charset val="1"/>
      </rPr>
      <t xml:space="preserve">mod </t>
    </r>
    <r>
      <rPr>
        <sz val="10"/>
        <rFont val="Noto Sans CJK SC"/>
        <charset val="134"/>
      </rPr>
      <t>矿物的兼容。</t>
    </r>
  </si>
  <si>
    <t>Tinkers' Thinking</t>
  </si>
  <si>
    <t>匠魂新材料附属。</t>
  </si>
  <si>
    <t>Tinkers' Ingenuity</t>
  </si>
  <si>
    <r>
      <rPr>
        <sz val="10"/>
        <rFont val="Noto Sans CJK SC"/>
        <charset val="134"/>
      </rPr>
      <t>匠魂新工具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新部件类型（激光、电池等自创 </t>
    </r>
    <r>
      <rPr>
        <sz val="10"/>
        <rFont val="微软雅黑"/>
        <charset val="1"/>
      </rPr>
      <t>stat</t>
    </r>
    <r>
      <rPr>
        <sz val="10"/>
        <rFont val="Noto Sans CJK SC"/>
        <charset val="134"/>
      </rPr>
      <t>）。</t>
    </r>
  </si>
  <si>
    <t>TinkersLevellingAddon</t>
  </si>
  <si>
    <r>
      <rPr>
        <sz val="10"/>
        <rFont val="Noto Sans CJK SC"/>
        <charset val="134"/>
      </rPr>
      <t xml:space="preserve">匠魂工具升级（已照 </t>
    </r>
    <r>
      <rPr>
        <sz val="10"/>
        <rFont val="微软雅黑"/>
        <charset val="1"/>
      </rPr>
      <t xml:space="preserve">CTI </t>
    </r>
    <r>
      <rPr>
        <sz val="10"/>
        <rFont val="Noto Sans CJK SC"/>
        <charset val="134"/>
      </rPr>
      <t>锁配置：升级只给槽不加属性，防数值膨胀）。</t>
    </r>
  </si>
  <si>
    <t>TConJEI</t>
  </si>
  <si>
    <r>
      <rPr>
        <sz val="10"/>
        <rFont val="Noto Sans CJK SC"/>
        <charset val="134"/>
      </rPr>
      <t>冶炼炉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浇铸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 xml:space="preserve">合金配方进 </t>
    </r>
    <r>
      <rPr>
        <sz val="10"/>
        <rFont val="微软雅黑"/>
        <charset val="1"/>
      </rPr>
      <t>JEI</t>
    </r>
    <r>
      <rPr>
        <sz val="10"/>
        <rFont val="Noto Sans CJK SC"/>
        <charset val="134"/>
      </rPr>
      <t>，匠魂刚需辅助。</t>
    </r>
  </si>
  <si>
    <t>cloudertinker / cherry-tinker</t>
  </si>
  <si>
    <t>国产匠魂附属：巨剑刃等新部件、新材料。</t>
  </si>
  <si>
    <t>Curios API</t>
  </si>
  <si>
    <r>
      <rPr>
        <sz val="10"/>
        <rFont val="Noto Sans CJK SC"/>
        <charset val="134"/>
      </rPr>
      <t>饰品槽（戒指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护符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腰带）前置框架。</t>
    </r>
  </si>
  <si>
    <t>Spoorn Armor Attributes</t>
  </si>
  <si>
    <r>
      <rPr>
        <sz val="10"/>
        <rFont val="Noto Sans CJK SC"/>
        <charset val="134"/>
      </rPr>
      <t>盔甲随机词条（加血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减伤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移速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抗击退）</t>
    </r>
    <r>
      <rPr>
        <sz val="10"/>
        <rFont val="微软雅黑"/>
        <charset val="1"/>
      </rPr>
      <t xml:space="preserve">+ </t>
    </r>
    <r>
      <rPr>
        <sz val="10"/>
        <rFont val="Noto Sans CJK SC"/>
        <charset val="134"/>
      </rPr>
      <t>重铸，刷装循环。</t>
    </r>
  </si>
  <si>
    <t>AttributeFix</t>
  </si>
  <si>
    <r>
      <rPr>
        <sz val="10"/>
        <rFont val="Noto Sans CJK SC"/>
        <charset val="134"/>
      </rPr>
      <t xml:space="preserve">属性上限解放到 </t>
    </r>
    <r>
      <rPr>
        <sz val="10"/>
        <rFont val="微软雅黑"/>
        <charset val="1"/>
      </rPr>
      <t>10⁷</t>
    </r>
    <r>
      <rPr>
        <sz val="10"/>
        <rFont val="Noto Sans CJK SC"/>
        <charset val="134"/>
      </rPr>
      <t xml:space="preserve">，高倍率 </t>
    </r>
    <r>
      <rPr>
        <sz val="10"/>
        <rFont val="微软雅黑"/>
        <charset val="1"/>
      </rPr>
      <t>Boss/</t>
    </r>
    <r>
      <rPr>
        <sz val="10"/>
        <rFont val="Noto Sans CJK SC"/>
        <charset val="134"/>
      </rPr>
      <t>装备数值的护栏。</t>
    </r>
  </si>
  <si>
    <t>Armor Curve</t>
  </si>
  <si>
    <r>
      <rPr>
        <sz val="10"/>
        <rFont val="Noto Sans CJK SC"/>
        <charset val="134"/>
      </rPr>
      <t>护甲公式改写：减伤收益递减且封顶，防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叠甲无敌</t>
    </r>
    <r>
      <rPr>
        <sz val="10"/>
        <rFont val="微软雅黑"/>
        <charset val="1"/>
      </rPr>
      <t>"</t>
    </r>
    <r>
      <rPr>
        <sz val="10"/>
        <rFont val="Noto Sans CJK SC"/>
        <charset val="134"/>
      </rPr>
      <t>。</t>
    </r>
  </si>
  <si>
    <t>Property Modifier</t>
  </si>
  <si>
    <r>
      <rPr>
        <sz val="10"/>
        <rFont val="Noto Sans CJK SC"/>
        <charset val="134"/>
      </rPr>
      <t>纯配置改物品耐久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堆叠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修理材料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实体属性，轻量魔改件。</t>
    </r>
  </si>
  <si>
    <t>FTB Quests + Library + Teams + XMod Compat</t>
  </si>
  <si>
    <r>
      <rPr>
        <sz val="10"/>
        <rFont val="微软雅黑"/>
        <charset val="1"/>
      </rPr>
      <t>**</t>
    </r>
    <r>
      <rPr>
        <sz val="10"/>
        <rFont val="Noto Sans CJK SC"/>
        <charset val="134"/>
      </rPr>
      <t>主线任务系统</t>
    </r>
    <r>
      <rPr>
        <sz val="10"/>
        <rFont val="微软雅黑"/>
        <charset val="1"/>
      </rPr>
      <t>**</t>
    </r>
    <r>
      <rPr>
        <sz val="10"/>
        <rFont val="Noto Sans CJK SC"/>
        <charset val="134"/>
      </rPr>
      <t xml:space="preserve">，九章任务线的载体，队伍与跨 </t>
    </r>
    <r>
      <rPr>
        <sz val="10"/>
        <rFont val="微软雅黑"/>
        <charset val="1"/>
      </rPr>
      <t xml:space="preserve">mod </t>
    </r>
    <r>
      <rPr>
        <sz val="10"/>
        <rFont val="Noto Sans CJK SC"/>
        <charset val="134"/>
      </rPr>
      <t>联动支持。</t>
    </r>
  </si>
  <si>
    <t>FTB Ultimine</t>
  </si>
  <si>
    <r>
      <rPr>
        <sz val="10"/>
        <rFont val="Noto Sans CJK SC"/>
        <charset val="134"/>
      </rPr>
      <t>连锁挖矿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采集，</t>
    </r>
    <r>
      <rPr>
        <sz val="10"/>
        <rFont val="微软雅黑"/>
        <charset val="1"/>
      </rPr>
      <t xml:space="preserve">CTI </t>
    </r>
    <r>
      <rPr>
        <sz val="10"/>
        <rFont val="Noto Sans CJK SC"/>
        <charset val="134"/>
      </rPr>
      <t xml:space="preserve">标配 </t>
    </r>
    <r>
      <rPr>
        <sz val="10"/>
        <rFont val="微软雅黑"/>
        <charset val="1"/>
      </rPr>
      <t>QoL</t>
    </r>
    <r>
      <rPr>
        <sz val="10"/>
        <rFont val="Noto Sans CJK SC"/>
        <charset val="134"/>
      </rPr>
      <t>。</t>
    </r>
  </si>
  <si>
    <t>GameStages + Recipe Stages</t>
  </si>
  <si>
    <t>阶段化进度框架：阶段解锁任务与配方锁的底座。</t>
  </si>
  <si>
    <t>KubeJS + Rhino</t>
  </si>
  <si>
    <r>
      <rPr>
        <sz val="10"/>
        <rFont val="微软雅黑"/>
        <charset val="1"/>
      </rPr>
      <t xml:space="preserve">JS </t>
    </r>
    <r>
      <rPr>
        <sz val="10"/>
        <rFont val="Noto Sans CJK SC"/>
        <charset val="134"/>
      </rPr>
      <t>魔改引擎（吸血怪修复、采集脚本等自定义逻辑所在）。</t>
    </r>
  </si>
  <si>
    <t>CraftTweaker</t>
  </si>
  <si>
    <r>
      <rPr>
        <sz val="10"/>
        <rFont val="Noto Sans CJK SC"/>
        <charset val="134"/>
      </rPr>
      <t>配方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数据魔改框架。</t>
    </r>
  </si>
  <si>
    <r>
      <rPr>
        <sz val="10"/>
        <rFont val="Noto Sans CJK SC"/>
        <charset val="134"/>
      </rPr>
      <t>精妙背包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存储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核心（</t>
    </r>
    <r>
      <rPr>
        <sz val="10"/>
        <rFont val="微软雅黑"/>
        <charset val="1"/>
      </rPr>
      <t>Sophisticated×3</t>
    </r>
    <r>
      <rPr>
        <sz val="10"/>
        <rFont val="Noto Sans CJK SC"/>
        <charset val="134"/>
      </rPr>
      <t>）</t>
    </r>
  </si>
  <si>
    <t>高功能背包与储物容器体系，升级插件丰富。</t>
  </si>
  <si>
    <t>Backpack Side GUI</t>
  </si>
  <si>
    <t>背包侧边栏面板扩展。</t>
  </si>
  <si>
    <t>Waystones</t>
  </si>
  <si>
    <t>传送石阵，大地图跑图标配。</t>
  </si>
  <si>
    <r>
      <rPr>
        <sz val="10"/>
        <rFont val="Noto Sans CJK SC"/>
        <charset val="134"/>
      </rPr>
      <t>篝火（</t>
    </r>
    <r>
      <rPr>
        <sz val="10"/>
        <rFont val="微软雅黑"/>
        <charset val="1"/>
      </rPr>
      <t>Bonfires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</si>
  <si>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 xml:space="preserve">黑魂式篝火：坐火回血、刷新怪物、篝火间传送，魂系体验核心 </t>
    </r>
    <r>
      <rPr>
        <sz val="10"/>
        <rFont val="微软雅黑"/>
        <charset val="1"/>
      </rPr>
      <t>QoL</t>
    </r>
    <r>
      <rPr>
        <sz val="10"/>
        <rFont val="Noto Sans CJK SC"/>
        <charset val="134"/>
      </rPr>
      <t>。</t>
    </r>
  </si>
  <si>
    <t>Lootr</t>
  </si>
  <si>
    <r>
      <rPr>
        <sz val="10"/>
        <rFont val="Noto Sans CJK SC"/>
        <charset val="134"/>
      </rPr>
      <t>战利品箱按玩家独立刷新，多人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重复探索不空箱。</t>
    </r>
  </si>
  <si>
    <r>
      <rPr>
        <sz val="10"/>
        <rFont val="Noto Sans CJK SC"/>
        <charset val="134"/>
      </rPr>
      <t>农夫乐事（</t>
    </r>
    <r>
      <rPr>
        <sz val="10"/>
        <rFont val="微软雅黑"/>
        <charset val="1"/>
      </rPr>
      <t>Farmer's Delight</t>
    </r>
    <r>
      <rPr>
        <sz val="10"/>
        <rFont val="Noto Sans CJK SC"/>
        <charset val="134"/>
      </rPr>
      <t>）</t>
    </r>
  </si>
  <si>
    <t>温馨向农耕烹饪扩展。</t>
  </si>
  <si>
    <t>Brewin' And Chewin'</t>
  </si>
  <si>
    <r>
      <rPr>
        <sz val="10"/>
        <rFont val="Noto Sans CJK SC"/>
        <charset val="134"/>
      </rPr>
      <t>农夫乐事发酵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酿酒附属。</t>
    </r>
  </si>
  <si>
    <r>
      <rPr>
        <sz val="10"/>
        <rFont val="Noto Sans CJK SC"/>
        <charset val="134"/>
      </rPr>
      <t>下界乐事（</t>
    </r>
    <r>
      <rPr>
        <sz val="10"/>
        <rFont val="微软雅黑"/>
        <charset val="1"/>
      </rPr>
      <t>Nether's Delight</t>
    </r>
    <r>
      <rPr>
        <sz val="10"/>
        <rFont val="Noto Sans CJK SC"/>
        <charset val="134"/>
      </rPr>
      <t>）</t>
    </r>
  </si>
  <si>
    <t>农夫乐事下界扩展。</t>
  </si>
  <si>
    <t>AppleSkin</t>
  </si>
  <si>
    <r>
      <rPr>
        <sz val="10"/>
        <rFont val="Noto Sans CJK SC"/>
        <charset val="134"/>
      </rPr>
      <t xml:space="preserve">食物 </t>
    </r>
    <r>
      <rPr>
        <sz val="10"/>
        <rFont val="微软雅黑"/>
        <charset val="1"/>
      </rPr>
      <t xml:space="preserve">HUD </t>
    </r>
    <r>
      <rPr>
        <sz val="10"/>
        <rFont val="Noto Sans CJK SC"/>
        <charset val="134"/>
      </rPr>
      <t>增强（饥饿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饱和度可视化）。</t>
    </r>
  </si>
  <si>
    <t>Ash Of Sin: Soul Like Boss Battle</t>
  </si>
  <si>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战改造：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 xml:space="preserve">战去 </t>
    </r>
    <r>
      <rPr>
        <sz val="10"/>
        <rFont val="微软雅黑"/>
        <charset val="1"/>
      </rPr>
      <t>buff</t>
    </r>
    <r>
      <rPr>
        <sz val="10"/>
        <rFont val="Noto Sans CJK SC"/>
        <charset val="134"/>
      </rPr>
      <t>、防铁傀儡逃课、多人血量缩放。</t>
    </r>
  </si>
  <si>
    <r>
      <rPr>
        <sz val="10"/>
        <rFont val="Noto Sans CJK SC"/>
        <charset val="134"/>
      </rPr>
      <t xml:space="preserve">多人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属性（</t>
    </r>
    <r>
      <rPr>
        <sz val="10"/>
        <rFont val="微软雅黑"/>
        <charset val="1"/>
      </rPr>
      <t>Multiplayer Boss Attribute Modifier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</si>
  <si>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 xml:space="preserve">按附近玩家数缩放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血量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伤害。</t>
    </r>
  </si>
  <si>
    <t>Entity Respawner</t>
  </si>
  <si>
    <r>
      <rPr>
        <sz val="10"/>
        <rFont val="Noto Sans CJK SC"/>
        <charset val="134"/>
      </rPr>
      <t xml:space="preserve">让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可重生。</t>
    </r>
  </si>
  <si>
    <r>
      <rPr>
        <sz val="10"/>
        <rFont val="Noto Sans CJK SC"/>
        <charset val="134"/>
      </rPr>
      <t>训练假人（</t>
    </r>
    <r>
      <rPr>
        <sz val="10"/>
        <rFont val="微软雅黑"/>
        <charset val="1"/>
      </rPr>
      <t>MmmMmmMmmMmm</t>
    </r>
    <r>
      <rPr>
        <sz val="10"/>
        <rFont val="Noto Sans CJK SC"/>
        <charset val="134"/>
      </rPr>
      <t>）</t>
    </r>
  </si>
  <si>
    <r>
      <rPr>
        <sz val="10"/>
        <rFont val="微软雅黑"/>
        <charset val="1"/>
      </rPr>
      <t xml:space="preserve">DPS </t>
    </r>
    <r>
      <rPr>
        <sz val="10"/>
        <rFont val="Noto Sans CJK SC"/>
        <charset val="134"/>
      </rPr>
      <t>测试木桩。</t>
    </r>
  </si>
  <si>
    <t>D</t>
  </si>
  <si>
    <r>
      <rPr>
        <sz val="10"/>
        <rFont val="Noto Sans CJK SC"/>
        <charset val="134"/>
      </rPr>
      <t>维度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地形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结构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探索</t>
    </r>
  </si>
  <si>
    <t>RoadWeaver</t>
  </si>
  <si>
    <t>自动在村庄等结构间生成道路网络，跑图体验大增。</t>
  </si>
  <si>
    <r>
      <rPr>
        <sz val="10"/>
        <rFont val="微软雅黑"/>
        <charset val="1"/>
      </rPr>
      <t xml:space="preserve">YUNG </t>
    </r>
    <r>
      <rPr>
        <sz val="10"/>
        <rFont val="Noto Sans CJK SC"/>
        <charset val="134"/>
      </rPr>
      <t>结构四件套</t>
    </r>
  </si>
  <si>
    <r>
      <rPr>
        <sz val="10"/>
        <rFont val="Noto Sans CJK SC"/>
        <charset val="134"/>
      </rPr>
      <t>地牢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废弃矿井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要塞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下界要塞全面重做，探索回报感强（</t>
    </r>
    <r>
      <rPr>
        <sz val="10"/>
        <rFont val="微软雅黑"/>
        <charset val="1"/>
      </rPr>
      <t xml:space="preserve">+YUNG's API </t>
    </r>
    <r>
      <rPr>
        <sz val="10"/>
        <rFont val="Noto Sans CJK SC"/>
        <charset val="134"/>
      </rPr>
      <t>前置）。</t>
    </r>
  </si>
  <si>
    <t>Explorer's Compass</t>
  </si>
  <si>
    <r>
      <rPr>
        <sz val="10"/>
        <rFont val="Noto Sans CJK SC"/>
        <charset val="134"/>
      </rPr>
      <t xml:space="preserve">结构罗盘，搜索并指路任意结构，找 </t>
    </r>
    <r>
      <rPr>
        <sz val="10"/>
        <rFont val="微软雅黑"/>
        <charset val="1"/>
      </rPr>
      <t xml:space="preserve">Boss </t>
    </r>
    <r>
      <rPr>
        <sz val="10"/>
        <rFont val="Noto Sans CJK SC"/>
        <charset val="134"/>
      </rPr>
      <t>房神器。</t>
    </r>
  </si>
  <si>
    <t>Distant Horizons 3.3.0</t>
  </si>
  <si>
    <r>
      <rPr>
        <sz val="10"/>
        <rFont val="Noto Sans CJK SC"/>
        <charset val="134"/>
      </rPr>
      <t xml:space="preserve">超远视距 </t>
    </r>
    <r>
      <rPr>
        <sz val="10"/>
        <rFont val="微软雅黑"/>
        <charset val="1"/>
      </rPr>
      <t xml:space="preserve">LOD </t>
    </r>
    <r>
      <rPr>
        <sz val="10"/>
        <rFont val="Noto Sans CJK SC"/>
        <charset val="134"/>
      </rPr>
      <t>渲染，站在高处看整片大陆。</t>
    </r>
  </si>
  <si>
    <t>Epic Terrain Compatible</t>
  </si>
  <si>
    <r>
      <rPr>
        <sz val="10"/>
        <rFont val="Noto Sans CJK SC"/>
        <charset val="134"/>
      </rPr>
      <t>史诗地形：真实平原</t>
    </r>
    <r>
      <rPr>
        <sz val="10"/>
        <rFont val="微软雅黑"/>
        <charset val="1"/>
      </rPr>
      <t>+</t>
    </r>
    <r>
      <rPr>
        <sz val="10"/>
        <rFont val="Noto Sans CJK SC"/>
        <charset val="134"/>
      </rPr>
      <t>高山峰</t>
    </r>
    <r>
      <rPr>
        <sz val="10"/>
        <rFont val="微软雅黑"/>
        <charset val="1"/>
      </rPr>
      <t>+</t>
    </r>
    <r>
      <rPr>
        <sz val="10"/>
        <rFont val="Noto Sans CJK SC"/>
        <charset val="134"/>
      </rPr>
      <t>大陆板块式地形生成（只影响新区块）。</t>
    </r>
  </si>
  <si>
    <t>TerraBlender</t>
  </si>
  <si>
    <t>多模组群系共存的地形库前置。</t>
  </si>
  <si>
    <t>Huge Structure Blocks</t>
  </si>
  <si>
    <r>
      <rPr>
        <sz val="10"/>
        <rFont val="Noto Sans CJK SC"/>
        <charset val="134"/>
      </rPr>
      <t>加大号结构方块（建筑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调试用）。</t>
    </r>
  </si>
  <si>
    <t>final_adversaries</t>
  </si>
  <si>
    <r>
      <rPr>
        <sz val="10"/>
        <rFont val="微软雅黑"/>
        <charset val="1"/>
      </rPr>
      <t xml:space="preserve">Alex's Caves × Aether </t>
    </r>
    <r>
      <rPr>
        <sz val="10"/>
        <rFont val="Noto Sans CJK SC"/>
        <charset val="134"/>
      </rPr>
      <t>终局对手内容。</t>
    </r>
  </si>
  <si>
    <t>Spore Inquisition</t>
  </si>
  <si>
    <r>
      <rPr>
        <sz val="10"/>
        <rFont val="微软雅黑"/>
        <charset val="1"/>
      </rPr>
      <t xml:space="preserve">Spore </t>
    </r>
    <r>
      <rPr>
        <sz val="10"/>
        <rFont val="Noto Sans CJK SC"/>
        <charset val="134"/>
      </rPr>
      <t>数据包式扩展（</t>
    </r>
    <r>
      <rPr>
        <sz val="10"/>
        <rFont val="微软雅黑"/>
        <charset val="1"/>
      </rPr>
      <t xml:space="preserve">bettercombat </t>
    </r>
    <r>
      <rPr>
        <sz val="10"/>
        <rFont val="Noto Sans CJK SC"/>
        <charset val="134"/>
      </rPr>
      <t>属性等），强化真菌侵略性。</t>
    </r>
  </si>
  <si>
    <t>E</t>
  </si>
  <si>
    <r>
      <rPr>
        <sz val="10"/>
        <rFont val="Noto Sans CJK SC"/>
        <charset val="134"/>
      </rPr>
      <t>信息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界面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视听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动画</t>
    </r>
  </si>
  <si>
    <r>
      <rPr>
        <sz val="10"/>
        <rFont val="微软雅黑"/>
        <charset val="1"/>
      </rPr>
      <t>JEI</t>
    </r>
    <r>
      <rPr>
        <sz val="10"/>
        <rFont val="Noto Sans CJK SC"/>
        <charset val="134"/>
      </rPr>
      <t>（</t>
    </r>
    <r>
      <rPr>
        <sz val="10"/>
        <rFont val="微软雅黑"/>
        <charset val="1"/>
      </rPr>
      <t>Just Enough Items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</si>
  <si>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物品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配方查询刚需。</t>
    </r>
  </si>
  <si>
    <t>Jade</t>
  </si>
  <si>
    <r>
      <rPr>
        <sz val="10"/>
        <rFont val="Noto Sans CJK SC"/>
        <charset val="134"/>
      </rPr>
      <t>准星信息（方块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实体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容器内容物）。</t>
    </r>
  </si>
  <si>
    <r>
      <rPr>
        <sz val="10"/>
        <rFont val="微软雅黑"/>
        <charset val="1"/>
      </rPr>
      <t xml:space="preserve">Xaero </t>
    </r>
    <r>
      <rPr>
        <sz val="10"/>
        <rFont val="Noto Sans CJK SC"/>
        <charset val="134"/>
      </rPr>
      <t xml:space="preserve">小地图 </t>
    </r>
    <r>
      <rPr>
        <sz val="10"/>
        <rFont val="微软雅黑"/>
        <charset val="1"/>
      </rPr>
      <t xml:space="preserve">+ </t>
    </r>
    <r>
      <rPr>
        <sz val="10"/>
        <rFont val="Noto Sans CJK SC"/>
        <charset val="134"/>
      </rPr>
      <t>世界地图</t>
    </r>
  </si>
  <si>
    <r>
      <rPr>
        <sz val="10"/>
        <rFont val="Noto Sans CJK SC"/>
        <charset val="134"/>
      </rPr>
      <t>最原版风的小地图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全屏自绘地图，怪物雷达。</t>
    </r>
  </si>
  <si>
    <t>Patchouli</t>
  </si>
  <si>
    <t>模组手册文档系统。</t>
  </si>
  <si>
    <t>Controlling</t>
  </si>
  <si>
    <t>键位搜索菜单。</t>
  </si>
  <si>
    <t>Polymorph</t>
  </si>
  <si>
    <t>配方冲突时自选产物。</t>
  </si>
  <si>
    <t>Mouse Tweaks</t>
  </si>
  <si>
    <t>鼠标拖拽整理增强。</t>
  </si>
  <si>
    <t>Searchables</t>
  </si>
  <si>
    <t>搜索栏组件库。</t>
  </si>
  <si>
    <t>Default Options</t>
  </si>
  <si>
    <t>整合包默认配置下发。</t>
  </si>
  <si>
    <t>OpenLoader</t>
  </si>
  <si>
    <r>
      <rPr>
        <sz val="10"/>
        <rFont val="Noto Sans CJK SC"/>
        <charset val="134"/>
      </rPr>
      <t>数据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资源包全局加载器——</t>
    </r>
    <r>
      <rPr>
        <sz val="10"/>
        <rFont val="微软雅黑"/>
        <charset val="1"/>
      </rPr>
      <t>imfdata</t>
    </r>
    <r>
      <rPr>
        <sz val="10"/>
        <rFont val="Noto Sans CJK SC"/>
        <charset val="134"/>
      </rPr>
      <t>、汉化包、</t>
    </r>
    <r>
      <rPr>
        <sz val="10"/>
        <rFont val="微软雅黑"/>
        <charset val="1"/>
      </rPr>
      <t xml:space="preserve">mowzie </t>
    </r>
    <r>
      <rPr>
        <sz val="10"/>
        <rFont val="Noto Sans CJK SC"/>
        <charset val="134"/>
      </rPr>
      <t>兼容包的载体。</t>
    </r>
  </si>
  <si>
    <t>InControl</t>
  </si>
  <si>
    <r>
      <rPr>
        <sz val="10"/>
        <rFont val="Noto Sans CJK SC"/>
        <charset val="134"/>
      </rPr>
      <t>刷怪控制框架（</t>
    </r>
    <r>
      <rPr>
        <sz val="10"/>
        <rFont val="微软雅黑"/>
        <charset val="1"/>
      </rPr>
      <t xml:space="preserve">DOTE </t>
    </r>
    <r>
      <rPr>
        <sz val="10"/>
        <rFont val="Noto Sans CJK SC"/>
        <charset val="134"/>
      </rPr>
      <t>式数值体系的基础设施工具）。</t>
    </r>
  </si>
  <si>
    <t>Damage Number</t>
  </si>
  <si>
    <r>
      <rPr>
        <sz val="10"/>
        <rFont val="Noto Sans CJK SC"/>
        <charset val="134"/>
      </rPr>
      <t>伤害数字显示（</t>
    </r>
    <r>
      <rPr>
        <sz val="10"/>
        <rFont val="微软雅黑"/>
        <charset val="1"/>
      </rPr>
      <t xml:space="preserve">IF </t>
    </r>
    <r>
      <rPr>
        <sz val="10"/>
        <rFont val="Noto Sans CJK SC"/>
        <charset val="134"/>
      </rPr>
      <t>手感观感的秘密武器之一）。</t>
    </r>
  </si>
  <si>
    <t>Su's Instant Swap</t>
  </si>
  <si>
    <t>快速切换主副手物品。</t>
  </si>
  <si>
    <t>Civillis</t>
  </si>
  <si>
    <r>
      <rPr>
        <sz val="10"/>
        <rFont val="Noto Sans CJK SC"/>
        <charset val="134"/>
      </rPr>
      <t>文明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村庄互动内容扩展。</t>
    </r>
  </si>
  <si>
    <t>AmbientSounds</t>
  </si>
  <si>
    <r>
      <rPr>
        <sz val="10"/>
        <rFont val="Noto Sans CJK SC"/>
        <charset val="134"/>
      </rPr>
      <t>环境音系统（</t>
    </r>
    <r>
      <rPr>
        <sz val="10"/>
        <rFont val="微软雅黑"/>
        <charset val="1"/>
      </rPr>
      <t xml:space="preserve">IF </t>
    </r>
    <r>
      <rPr>
        <sz val="10"/>
        <rFont val="Noto Sans CJK SC"/>
        <charset val="134"/>
      </rPr>
      <t>沉浸感三件套之一）。</t>
    </r>
  </si>
  <si>
    <t>ExtraSoundsNext</t>
  </si>
  <si>
    <r>
      <rPr>
        <sz val="10"/>
        <rFont val="微软雅黑"/>
        <charset val="1"/>
      </rPr>
      <t xml:space="preserve">UI </t>
    </r>
    <r>
      <rPr>
        <sz val="10"/>
        <rFont val="Noto Sans CJK SC"/>
        <charset val="134"/>
      </rPr>
      <t>音效增强。</t>
    </r>
  </si>
  <si>
    <t>Quality Sounds</t>
  </si>
  <si>
    <r>
      <rPr>
        <sz val="10"/>
        <rFont val="Noto Sans CJK SC"/>
        <charset val="134"/>
      </rPr>
      <t>踩踏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破坏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放置方块的材质音效增强。</t>
    </r>
  </si>
  <si>
    <t>NotEnoughAnimations</t>
  </si>
  <si>
    <t>第三人称动画增强。</t>
  </si>
  <si>
    <t>Leawind's Third Person</t>
  </si>
  <si>
    <t>实用丝滑的第三人称视角系统。</t>
  </si>
  <si>
    <t>Perspective API</t>
  </si>
  <si>
    <r>
      <rPr>
        <sz val="10"/>
        <rFont val="Noto Sans CJK SC"/>
        <charset val="134"/>
      </rPr>
      <t xml:space="preserve">视角管理 </t>
    </r>
    <r>
      <rPr>
        <sz val="10"/>
        <rFont val="微软雅黑"/>
        <charset val="1"/>
      </rPr>
      <t xml:space="preserve">API </t>
    </r>
    <r>
      <rPr>
        <sz val="10"/>
        <rFont val="Noto Sans CJK SC"/>
        <charset val="134"/>
      </rPr>
      <t>框架。</t>
    </r>
  </si>
  <si>
    <t>Player Animator</t>
  </si>
  <si>
    <r>
      <rPr>
        <sz val="10"/>
        <rFont val="Noto Sans CJK SC"/>
        <charset val="134"/>
      </rPr>
      <t>玩家动画库（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等调用）。</t>
    </r>
  </si>
  <si>
    <t>GeckoLib</t>
  </si>
  <si>
    <r>
      <rPr>
        <sz val="10"/>
        <rFont val="Noto Sans CJK SC"/>
        <charset val="134"/>
      </rPr>
      <t>实体动画引擎（</t>
    </r>
    <r>
      <rPr>
        <sz val="10"/>
        <rFont val="微软雅黑"/>
        <charset val="1"/>
      </rPr>
      <t xml:space="preserve">Mowzie </t>
    </r>
    <r>
      <rPr>
        <sz val="10"/>
        <rFont val="Noto Sans CJK SC"/>
        <charset val="134"/>
      </rPr>
      <t>等的前置）。</t>
    </r>
  </si>
  <si>
    <t>AAA Particles</t>
  </si>
  <si>
    <r>
      <rPr>
        <sz val="10"/>
        <rFont val="微软雅黑"/>
        <charset val="1"/>
      </rPr>
      <t xml:space="preserve">Effekseer </t>
    </r>
    <r>
      <rPr>
        <sz val="10"/>
        <rFont val="Noto Sans CJK SC"/>
        <charset val="134"/>
      </rPr>
      <t>粒子引擎（</t>
    </r>
    <r>
      <rPr>
        <sz val="10"/>
        <rFont val="微软雅黑"/>
        <charset val="1"/>
      </rPr>
      <t xml:space="preserve">EFN </t>
    </r>
    <r>
      <rPr>
        <sz val="10"/>
        <rFont val="Noto Sans CJK SC"/>
        <charset val="134"/>
      </rPr>
      <t>等的特效底座）。</t>
    </r>
  </si>
  <si>
    <t>CreativeCore</t>
  </si>
  <si>
    <r>
      <rPr>
        <sz val="10"/>
        <rFont val="Noto Sans CJK SC"/>
        <charset val="134"/>
      </rPr>
      <t>创意库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配置界面框架（</t>
    </r>
    <r>
      <rPr>
        <sz val="10"/>
        <rFont val="微软雅黑"/>
        <charset val="1"/>
      </rPr>
      <t xml:space="preserve">AmbientSounds </t>
    </r>
    <r>
      <rPr>
        <sz val="10"/>
        <rFont val="Noto Sans CJK SC"/>
        <charset val="134"/>
      </rPr>
      <t>前置）。</t>
    </r>
  </si>
  <si>
    <t>F</t>
  </si>
  <si>
    <r>
      <rPr>
        <sz val="10"/>
        <rFont val="Noto Sans CJK SC"/>
        <charset val="134"/>
      </rPr>
      <t>性能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前置</t>
    </r>
    <r>
      <rPr>
        <sz val="10"/>
        <rFont val="微软雅黑"/>
        <charset val="1"/>
      </rPr>
      <t>·</t>
    </r>
    <r>
      <rPr>
        <sz val="10"/>
        <rFont val="Noto Sans CJK SC"/>
        <charset val="134"/>
      </rPr>
      <t>后台</t>
    </r>
  </si>
  <si>
    <t>Embeddium</t>
  </si>
  <si>
    <r>
      <rPr>
        <sz val="10"/>
        <rFont val="Noto Sans CJK SC"/>
        <charset val="134"/>
      </rPr>
      <t>渲染性能核心（</t>
    </r>
    <r>
      <rPr>
        <sz val="10"/>
        <rFont val="微软雅黑"/>
        <charset val="1"/>
      </rPr>
      <t xml:space="preserve">Sodium </t>
    </r>
    <r>
      <rPr>
        <sz val="10"/>
        <rFont val="Noto Sans CJK SC"/>
        <charset val="134"/>
      </rPr>
      <t xml:space="preserve">系 </t>
    </r>
    <r>
      <rPr>
        <sz val="10"/>
        <rFont val="微软雅黑"/>
        <charset val="1"/>
      </rPr>
      <t xml:space="preserve">Forge </t>
    </r>
    <r>
      <rPr>
        <sz val="10"/>
        <rFont val="Noto Sans CJK SC"/>
        <charset val="134"/>
      </rPr>
      <t>移植）。</t>
    </r>
  </si>
  <si>
    <t>ModernFix</t>
  </si>
  <si>
    <t>综合性能修复与启动加速。</t>
  </si>
  <si>
    <t>FerriteCore</t>
  </si>
  <si>
    <t>内存占用削减。</t>
  </si>
  <si>
    <t>Memory Leak Fix</t>
  </si>
  <si>
    <t>内存泄漏修复。</t>
  </si>
  <si>
    <t>Canary</t>
  </si>
  <si>
    <r>
      <rPr>
        <sz val="10"/>
        <rFont val="微软雅黑"/>
        <charset val="1"/>
      </rPr>
      <t xml:space="preserve">Lithium </t>
    </r>
    <r>
      <rPr>
        <sz val="10"/>
        <rFont val="Noto Sans CJK SC"/>
        <charset val="134"/>
      </rPr>
      <t>逻辑优化移植。</t>
    </r>
  </si>
  <si>
    <t>chunksending + Chunky</t>
  </si>
  <si>
    <r>
      <rPr>
        <sz val="10"/>
        <rFont val="Noto Sans CJK SC"/>
        <charset val="134"/>
      </rPr>
      <t xml:space="preserve">区块发送优化 </t>
    </r>
    <r>
      <rPr>
        <sz val="10"/>
        <rFont val="微软雅黑"/>
        <charset val="1"/>
      </rPr>
      <t xml:space="preserve">+ </t>
    </r>
    <r>
      <rPr>
        <sz val="10"/>
        <rFont val="Noto Sans CJK SC"/>
        <charset val="134"/>
      </rPr>
      <t>区块预生成。</t>
    </r>
  </si>
  <si>
    <t>Clumps</t>
  </si>
  <si>
    <t>经验球合并。</t>
  </si>
  <si>
    <t>EntityCulling</t>
  </si>
  <si>
    <r>
      <rPr>
        <sz val="10"/>
        <rFont val="Noto Sans CJK SC"/>
        <charset val="134"/>
      </rPr>
      <t>实体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方块遮挡剔除。</t>
    </r>
  </si>
  <si>
    <t>CullLeaves</t>
  </si>
  <si>
    <t>树叶背面剔除。</t>
  </si>
  <si>
    <t>Dynamic FPS</t>
  </si>
  <si>
    <r>
      <rPr>
        <sz val="10"/>
        <rFont val="Noto Sans CJK SC"/>
        <charset val="134"/>
      </rPr>
      <t>后台</t>
    </r>
    <r>
      <rPr>
        <sz val="10"/>
        <rFont val="微软雅黑"/>
        <charset val="1"/>
      </rPr>
      <t>/</t>
    </r>
    <r>
      <rPr>
        <sz val="10"/>
        <rFont val="Noto Sans CJK SC"/>
        <charset val="134"/>
      </rPr>
      <t>闲置降帧省电。</t>
    </r>
  </si>
  <si>
    <t>ImmediatelyFast</t>
  </si>
  <si>
    <t>立即模式渲染优化。</t>
  </si>
  <si>
    <t>PacketFixer</t>
  </si>
  <si>
    <t>数据包异常修复。</t>
  </si>
  <si>
    <t>spark</t>
  </si>
  <si>
    <t>性能分析器。</t>
  </si>
  <si>
    <t>Balm / Bookshelf / Citadel / Cloth Config / Cupboard / Architectury / Moonlight / MidnightLib / LionfishAPI</t>
  </si>
  <si>
    <r>
      <rPr>
        <sz val="10"/>
        <rFont val="Noto Sans CJK SC"/>
        <charset val="134"/>
      </rPr>
      <t xml:space="preserve">各 </t>
    </r>
    <r>
      <rPr>
        <sz val="10"/>
        <rFont val="微软雅黑"/>
        <charset val="1"/>
      </rPr>
      <t xml:space="preserve">mod </t>
    </r>
    <r>
      <rPr>
        <sz val="10"/>
        <rFont val="Noto Sans CJK SC"/>
        <charset val="134"/>
      </rPr>
      <t>的前置库。</t>
    </r>
  </si>
  <si>
    <t>Iron's Lib</t>
  </si>
  <si>
    <r>
      <rPr>
        <sz val="10"/>
        <rFont val="微软雅黑"/>
        <charset val="1"/>
      </rPr>
      <t xml:space="preserve">Iron431 </t>
    </r>
    <r>
      <rPr>
        <sz val="10"/>
        <rFont val="Noto Sans CJK SC"/>
        <charset val="134"/>
      </rPr>
      <t>系模组的公共功能库。</t>
    </r>
  </si>
  <si>
    <r>
      <rPr>
        <sz val="10"/>
        <rFont val="微软雅黑"/>
        <charset val="1"/>
      </rPr>
      <t xml:space="preserve">SLM </t>
    </r>
    <r>
      <rPr>
        <sz val="10"/>
        <rFont val="Noto Sans CJK SC"/>
        <charset val="134"/>
      </rPr>
      <t>链（</t>
    </r>
    <r>
      <rPr>
        <sz val="10"/>
        <rFont val="微软雅黑"/>
        <charset val="1"/>
      </rPr>
      <t>SL-Library + SLM Codex/Elements/EpicFight/Shaders</t>
    </r>
    <r>
      <rPr>
        <sz val="10"/>
        <rFont val="Noto Sans CJK SC"/>
        <charset val="134"/>
      </rPr>
      <t>）</t>
    </r>
  </si>
  <si>
    <r>
      <rPr>
        <sz val="10"/>
        <rFont val="Noto Sans CJK SC"/>
        <charset val="134"/>
      </rPr>
      <t>灾变兵工厂的前置库群：图鉴、元素体系、</t>
    </r>
    <r>
      <rPr>
        <sz val="10"/>
        <rFont val="微软雅黑"/>
        <charset val="1"/>
      </rPr>
      <t xml:space="preserve">EF </t>
    </r>
    <r>
      <rPr>
        <sz val="10"/>
        <rFont val="Noto Sans CJK SC"/>
        <charset val="134"/>
      </rPr>
      <t>桥、着色器。</t>
    </r>
  </si>
  <si>
    <t>分档统计</t>
  </si>
  <si>
    <t>条目数</t>
  </si>
  <si>
    <r>
      <rPr>
        <b/>
        <sz val="10"/>
        <color rgb="FFFFFFFF"/>
        <rFont val="微软雅黑"/>
        <charset val="1"/>
      </rPr>
      <t>Boss</t>
    </r>
    <r>
      <rPr>
        <b/>
        <sz val="10"/>
        <color rgb="FFFFFFFF"/>
        <rFont val="Noto Sans CJK SC"/>
        <charset val="134"/>
      </rPr>
      <t>级合计</t>
    </r>
  </si>
  <si>
    <t>武器合计</t>
  </si>
  <si>
    <t>敌对合计</t>
  </si>
  <si>
    <t>中立合计</t>
  </si>
  <si>
    <r>
      <rPr>
        <sz val="11"/>
        <color rgb="FF000000"/>
        <rFont val="Calibri"/>
        <charset val="1"/>
      </rPr>
      <t xml:space="preserve">EF </t>
    </r>
    <r>
      <rPr>
        <sz val="11"/>
        <color rgb="FF000000"/>
        <rFont val="Noto Sans CJK SC"/>
        <charset val="134"/>
      </rPr>
      <t>附属体系</t>
    </r>
  </si>
  <si>
    <r>
      <rPr>
        <sz val="11"/>
        <color rgb="FF000000"/>
        <rFont val="Noto Sans CJK SC"/>
        <charset val="134"/>
      </rPr>
      <t>装备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成长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玩法系统</t>
    </r>
  </si>
  <si>
    <r>
      <rPr>
        <sz val="11"/>
        <color rgb="FF000000"/>
        <rFont val="Noto Sans CJK SC"/>
        <charset val="134"/>
      </rPr>
      <t>维度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地形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结构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探索</t>
    </r>
  </si>
  <si>
    <r>
      <rPr>
        <sz val="11"/>
        <color rgb="FF000000"/>
        <rFont val="Noto Sans CJK SC"/>
        <charset val="134"/>
      </rPr>
      <t>信息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界面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视听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动画</t>
    </r>
  </si>
  <si>
    <r>
      <rPr>
        <sz val="11"/>
        <color rgb="FF000000"/>
        <rFont val="Noto Sans CJK SC"/>
        <charset val="134"/>
      </rPr>
      <t>性能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前置</t>
    </r>
    <r>
      <rPr>
        <sz val="11"/>
        <color rgb="FF000000"/>
        <rFont val="Calibri"/>
        <charset val="1"/>
      </rPr>
      <t>·</t>
    </r>
    <r>
      <rPr>
        <sz val="11"/>
        <color rgb="FF000000"/>
        <rFont val="Noto Sans CJK SC"/>
        <charset val="134"/>
      </rPr>
      <t>后台</t>
    </r>
  </si>
  <si>
    <t>合计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</si>
</sst>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4">
    <font>
      <sz val="11"/>
      <color rgb="FF000000"/>
      <name val="Calibri"/>
      <charset val="1"/>
    </font>
    <font>
      <b/>
      <sz val="14"/>
      <name val="Noto Sans CJK SC"/>
      <charset val="134"/>
    </font>
    <font>
      <b/>
      <sz val="10"/>
      <color rgb="FFFFFFFF"/>
      <name val="Noto Sans CJK SC"/>
      <charset val="134"/>
    </font>
    <font>
      <b/>
      <sz val="10"/>
      <color rgb="FFFFFFFF"/>
      <name val="微软雅黑"/>
      <charset val="1"/>
    </font>
    <font>
      <sz val="11"/>
      <color rgb="FF000000"/>
      <name val="Noto Sans CJK SC"/>
      <charset val="134"/>
    </font>
    <font>
      <b/>
      <sz val="11"/>
      <name val="Noto Sans CJK SC"/>
      <charset val="134"/>
    </font>
    <font>
      <b/>
      <sz val="16"/>
      <name val="微软雅黑"/>
      <charset val="1"/>
    </font>
    <font>
      <sz val="10"/>
      <color rgb="FF808080"/>
      <name val="Noto Sans CJK SC"/>
      <charset val="134"/>
    </font>
    <font>
      <sz val="10"/>
      <name val="Noto Sans CJK SC"/>
      <charset val="134"/>
    </font>
    <font>
      <sz val="10"/>
      <name val="微软雅黑"/>
      <charset val="1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6"/>
      <name val="Noto Sans CJK SC"/>
      <charset val="134"/>
    </font>
    <font>
      <sz val="10"/>
      <color rgb="FF808080"/>
      <name val="微软雅黑"/>
      <charset val="1"/>
    </font>
    <font>
      <sz val="10"/>
      <name val="Noto Sans CJK SC"/>
      <charset val="1"/>
    </font>
  </fonts>
  <fills count="41">
    <fill>
      <patternFill patternType="none"/>
    </fill>
    <fill>
      <patternFill patternType="gray125"/>
    </fill>
    <fill>
      <patternFill patternType="solid">
        <fgColor rgb="FF262626"/>
        <bgColor rgb="FF333300"/>
      </patternFill>
    </fill>
    <fill>
      <patternFill patternType="solid">
        <fgColor rgb="FFC00000"/>
        <bgColor rgb="FF800000"/>
      </patternFill>
    </fill>
    <fill>
      <patternFill patternType="solid">
        <fgColor rgb="FFE36C0A"/>
        <bgColor rgb="FFBF8F00"/>
      </patternFill>
    </fill>
    <fill>
      <patternFill patternType="solid">
        <fgColor rgb="FFBF8F00"/>
        <bgColor rgb="FFE36C0A"/>
      </patternFill>
    </fill>
    <fill>
      <patternFill patternType="solid">
        <fgColor rgb="FF2E75B6"/>
        <bgColor rgb="FF0066CC"/>
      </patternFill>
    </fill>
    <fill>
      <patternFill patternType="solid">
        <fgColor rgb="FF548235"/>
        <bgColor rgb="FF339966"/>
      </patternFill>
    </fill>
    <fill>
      <patternFill patternType="solid">
        <fgColor rgb="FF7030A0"/>
        <bgColor rgb="FF993366"/>
      </patternFill>
    </fill>
    <fill>
      <patternFill patternType="solid">
        <fgColor rgb="FF7F7F7F"/>
        <bgColor rgb="FF80808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0" fillId="0" borderId="0" applyBorder="0" applyAlignment="0" applyProtection="0"/>
    <xf numFmtId="44" fontId="10" fillId="0" borderId="0" applyBorder="0" applyAlignment="0" applyProtection="0"/>
    <xf numFmtId="9" fontId="10" fillId="0" borderId="0" applyBorder="0" applyAlignment="0" applyProtection="0"/>
    <xf numFmtId="41" fontId="10" fillId="0" borderId="0" applyBorder="0" applyAlignment="0" applyProtection="0"/>
    <xf numFmtId="42" fontId="10" fillId="0" borderId="0" applyBorder="0" applyAlignment="0" applyProtection="0"/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0" borderId="2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11" borderId="5" applyNumberFormat="0" applyAlignment="0" applyProtection="0">
      <alignment vertical="center"/>
    </xf>
    <xf numFmtId="0" fontId="21" fillId="12" borderId="6" applyNumberFormat="0" applyAlignment="0" applyProtection="0">
      <alignment vertical="center"/>
    </xf>
    <xf numFmtId="0" fontId="22" fillId="12" borderId="5" applyNumberFormat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29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  <xf numFmtId="0" fontId="30" fillId="38" borderId="0" applyNumberFormat="0" applyBorder="0" applyAlignment="0" applyProtection="0">
      <alignment vertical="center"/>
    </xf>
    <xf numFmtId="0" fontId="30" fillId="39" borderId="0" applyNumberFormat="0" applyBorder="0" applyAlignment="0" applyProtection="0">
      <alignment vertical="center"/>
    </xf>
    <xf numFmtId="0" fontId="29" fillId="40" borderId="0" applyNumberFormat="0" applyBorder="0" applyAlignment="0" applyProtection="0">
      <alignment vertical="center"/>
    </xf>
  </cellStyleXfs>
  <cellXfs count="29">
    <xf numFmtId="0" fontId="0" fillId="0" borderId="0" xfId="0"/>
    <xf numFmtId="0" fontId="1" fillId="0" borderId="0" xfId="0" applyFont="1" applyBorder="1"/>
    <xf numFmtId="0" fontId="2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4" fillId="0" borderId="0" xfId="0" applyFont="1"/>
    <xf numFmtId="0" fontId="3" fillId="4" borderId="0" xfId="0" applyFont="1" applyFill="1" applyAlignment="1">
      <alignment horizontal="center"/>
    </xf>
    <xf numFmtId="0" fontId="3" fillId="5" borderId="0" xfId="0" applyFont="1" applyFill="1" applyAlignment="1">
      <alignment horizontal="center"/>
    </xf>
    <xf numFmtId="0" fontId="3" fillId="6" borderId="0" xfId="0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0" fontId="3" fillId="9" borderId="0" xfId="0" applyFont="1" applyFill="1" applyAlignment="1">
      <alignment horizontal="center"/>
    </xf>
    <xf numFmtId="0" fontId="5" fillId="0" borderId="0" xfId="0" applyFont="1"/>
    <xf numFmtId="0" fontId="6" fillId="0" borderId="0" xfId="0" applyFont="1" applyBorder="1"/>
    <xf numFmtId="0" fontId="7" fillId="0" borderId="0" xfId="0" applyFont="1" applyBorder="1"/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548235"/>
      <rgbColor rgb="00800080"/>
      <rgbColor rgb="00008080"/>
      <rgbColor rgb="00C0C0C0"/>
      <rgbColor rgb="00808080"/>
      <rgbColor rgb="009999FF"/>
      <rgbColor rgb="007030A0"/>
      <rgbColor rgb="00FFFFCC"/>
      <rgbColor rgb="00CCFFFF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2E75B6"/>
      <rgbColor rgb="0033CCCC"/>
      <rgbColor rgb="0099CC00"/>
      <rgbColor rgb="00FFCC00"/>
      <rgbColor rgb="00BF8F00"/>
      <rgbColor rgb="00E36C0A"/>
      <rgbColor rgb="00666699"/>
      <rgbColor rgb="007F7F7F"/>
      <rgbColor rgb="00003366"/>
      <rgbColor rgb="00339966"/>
      <rgbColor rgb="00003300"/>
      <rgbColor rgb="00333300"/>
      <rgbColor rgb="00993300"/>
      <rgbColor rgb="00993366"/>
      <rgbColor rgb="00333399"/>
      <rgbColor rgb="00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J138"/>
  <sheetViews>
    <sheetView tabSelected="1" zoomScalePageLayoutView="60" workbookViewId="0">
      <selection activeCell="J97" sqref="J97"/>
    </sheetView>
  </sheetViews>
  <sheetFormatPr defaultColWidth="8.67592592592593" defaultRowHeight="14.4"/>
  <cols>
    <col min="2" max="2" width="6" customWidth="1"/>
    <col min="3" max="3" width="16" customWidth="1"/>
    <col min="4" max="4" width="40" customWidth="1"/>
    <col min="5" max="8" width="8" customWidth="1"/>
    <col min="9" max="9" width="35.7777777777778" customWidth="1"/>
    <col min="10" max="10" width="90" customWidth="1"/>
  </cols>
  <sheetData>
    <row r="2" ht="27.75" customHeight="1" spans="2:10">
      <c r="B2" s="13" t="s">
        <v>0</v>
      </c>
      <c r="C2" s="13"/>
      <c r="D2" s="13"/>
      <c r="E2" s="13"/>
      <c r="F2" s="13"/>
      <c r="G2" s="13"/>
      <c r="H2" s="13"/>
      <c r="I2" s="13"/>
      <c r="J2" s="13"/>
    </row>
    <row r="3" ht="15" spans="2:10">
      <c r="B3" s="14" t="s">
        <v>1</v>
      </c>
      <c r="C3" s="14"/>
      <c r="D3" s="14"/>
      <c r="E3" s="14"/>
      <c r="F3" s="14"/>
      <c r="G3" s="14"/>
      <c r="H3" s="14"/>
      <c r="I3" s="14"/>
      <c r="J3" s="14"/>
    </row>
    <row r="5" ht="19.5" customHeight="1" spans="2:10">
      <c r="B5" s="15" t="s">
        <v>2</v>
      </c>
      <c r="C5" s="15" t="s">
        <v>3</v>
      </c>
      <c r="D5" s="16" t="s">
        <v>4</v>
      </c>
      <c r="E5" s="16" t="s">
        <v>5</v>
      </c>
      <c r="F5" s="15" t="s">
        <v>6</v>
      </c>
      <c r="G5" s="15" t="s">
        <v>7</v>
      </c>
      <c r="H5" s="15" t="s">
        <v>8</v>
      </c>
      <c r="I5" s="15" t="s">
        <v>9</v>
      </c>
      <c r="J5" s="15" t="s">
        <v>10</v>
      </c>
    </row>
    <row r="6" ht="42" spans="2:10">
      <c r="B6" s="17" t="s">
        <v>11</v>
      </c>
      <c r="C6" s="18" t="s">
        <v>12</v>
      </c>
      <c r="D6" s="19" t="s">
        <v>13</v>
      </c>
      <c r="E6" s="20"/>
      <c r="F6" s="20">
        <v>33</v>
      </c>
      <c r="G6" s="20"/>
      <c r="H6" s="20"/>
      <c r="I6" s="18" t="s">
        <v>14</v>
      </c>
      <c r="J6" s="21" t="s">
        <v>15</v>
      </c>
    </row>
    <row r="7" ht="42" spans="2:10">
      <c r="B7" s="17" t="s">
        <v>11</v>
      </c>
      <c r="C7" s="18" t="s">
        <v>12</v>
      </c>
      <c r="D7" s="19" t="s">
        <v>16</v>
      </c>
      <c r="E7" s="20">
        <v>16</v>
      </c>
      <c r="F7" s="20">
        <v>19</v>
      </c>
      <c r="G7" s="20">
        <v>81</v>
      </c>
      <c r="H7" s="20"/>
      <c r="I7" s="19" t="s">
        <v>17</v>
      </c>
      <c r="J7" s="22" t="s">
        <v>18</v>
      </c>
    </row>
    <row r="8" ht="27" spans="2:10">
      <c r="B8" s="17" t="s">
        <v>11</v>
      </c>
      <c r="C8" s="18" t="s">
        <v>12</v>
      </c>
      <c r="D8" s="19" t="s">
        <v>19</v>
      </c>
      <c r="E8" s="20"/>
      <c r="F8" s="20"/>
      <c r="G8" s="20"/>
      <c r="H8" s="20"/>
      <c r="I8" s="18" t="s">
        <v>20</v>
      </c>
      <c r="J8" s="21" t="s">
        <v>21</v>
      </c>
    </row>
    <row r="9" ht="42" spans="2:10">
      <c r="B9" s="23" t="s">
        <v>22</v>
      </c>
      <c r="C9" s="18" t="s">
        <v>23</v>
      </c>
      <c r="D9" s="19" t="s">
        <v>24</v>
      </c>
      <c r="E9" s="20">
        <v>43</v>
      </c>
      <c r="F9" s="20">
        <v>173</v>
      </c>
      <c r="G9" s="20">
        <v>77</v>
      </c>
      <c r="H9" s="20"/>
      <c r="I9" s="19" t="s">
        <v>25</v>
      </c>
      <c r="J9" s="21" t="s">
        <v>26</v>
      </c>
    </row>
    <row r="10" ht="30" spans="2:10">
      <c r="B10" s="23" t="s">
        <v>22</v>
      </c>
      <c r="C10" s="18" t="s">
        <v>23</v>
      </c>
      <c r="D10" s="19" t="s">
        <v>27</v>
      </c>
      <c r="E10" s="20">
        <v>37</v>
      </c>
      <c r="F10" s="20">
        <v>155</v>
      </c>
      <c r="G10" s="20">
        <v>65</v>
      </c>
      <c r="H10" s="20">
        <v>133</v>
      </c>
      <c r="I10" s="19" t="s">
        <v>28</v>
      </c>
      <c r="J10" s="21" t="s">
        <v>29</v>
      </c>
    </row>
    <row r="11" ht="30" spans="2:10">
      <c r="B11" s="23" t="s">
        <v>22</v>
      </c>
      <c r="C11" s="18" t="s">
        <v>23</v>
      </c>
      <c r="D11" s="18" t="s">
        <v>30</v>
      </c>
      <c r="E11" s="20">
        <v>7</v>
      </c>
      <c r="F11" s="20">
        <v>211</v>
      </c>
      <c r="G11" s="20">
        <v>33</v>
      </c>
      <c r="H11" s="20"/>
      <c r="I11" s="18" t="s">
        <v>31</v>
      </c>
      <c r="J11" s="21" t="s">
        <v>32</v>
      </c>
    </row>
    <row r="12" ht="27" spans="2:10">
      <c r="B12" s="23" t="s">
        <v>22</v>
      </c>
      <c r="C12" s="18" t="s">
        <v>23</v>
      </c>
      <c r="D12" s="18" t="s">
        <v>33</v>
      </c>
      <c r="E12" s="20"/>
      <c r="F12" s="20">
        <v>228</v>
      </c>
      <c r="G12" s="20"/>
      <c r="H12" s="20"/>
      <c r="I12" s="18" t="s">
        <v>34</v>
      </c>
      <c r="J12" s="21" t="s">
        <v>35</v>
      </c>
    </row>
    <row r="13" ht="27" spans="2:10">
      <c r="B13" s="23" t="s">
        <v>22</v>
      </c>
      <c r="C13" s="18" t="s">
        <v>23</v>
      </c>
      <c r="D13" s="18" t="s">
        <v>36</v>
      </c>
      <c r="E13" s="20"/>
      <c r="F13" s="20">
        <v>120</v>
      </c>
      <c r="G13" s="20"/>
      <c r="H13" s="20"/>
      <c r="I13" s="18" t="s">
        <v>37</v>
      </c>
      <c r="J13" s="21" t="s">
        <v>38</v>
      </c>
    </row>
    <row r="14" ht="30" spans="2:10">
      <c r="B14" s="23" t="s">
        <v>22</v>
      </c>
      <c r="C14" s="18" t="s">
        <v>23</v>
      </c>
      <c r="D14" s="18" t="s">
        <v>39</v>
      </c>
      <c r="E14" s="20">
        <v>20</v>
      </c>
      <c r="F14" s="20">
        <v>23</v>
      </c>
      <c r="G14" s="20">
        <v>36</v>
      </c>
      <c r="H14" s="20"/>
      <c r="I14" s="19" t="s">
        <v>40</v>
      </c>
      <c r="J14" s="22" t="s">
        <v>41</v>
      </c>
    </row>
    <row r="15" ht="15.6" spans="2:10">
      <c r="B15" s="23" t="s">
        <v>22</v>
      </c>
      <c r="C15" s="18" t="s">
        <v>23</v>
      </c>
      <c r="D15" s="19" t="s">
        <v>42</v>
      </c>
      <c r="E15" s="20"/>
      <c r="F15" s="20"/>
      <c r="G15" s="20"/>
      <c r="H15" s="20"/>
      <c r="I15" s="18" t="s">
        <v>43</v>
      </c>
      <c r="J15" s="22" t="s">
        <v>44</v>
      </c>
    </row>
    <row r="16" ht="30" spans="2:10">
      <c r="B16" s="23" t="s">
        <v>22</v>
      </c>
      <c r="C16" s="18" t="s">
        <v>23</v>
      </c>
      <c r="D16" s="18" t="s">
        <v>45</v>
      </c>
      <c r="E16" s="20">
        <v>7</v>
      </c>
      <c r="F16" s="20">
        <v>20</v>
      </c>
      <c r="G16" s="20">
        <v>50</v>
      </c>
      <c r="H16" s="20"/>
      <c r="I16" s="18" t="s">
        <v>46</v>
      </c>
      <c r="J16" s="22" t="s">
        <v>47</v>
      </c>
    </row>
    <row r="17" ht="30" spans="2:10">
      <c r="B17" s="23" t="s">
        <v>22</v>
      </c>
      <c r="C17" s="18" t="s">
        <v>23</v>
      </c>
      <c r="D17" s="18" t="s">
        <v>48</v>
      </c>
      <c r="E17" s="20">
        <v>16</v>
      </c>
      <c r="F17" s="20">
        <v>26</v>
      </c>
      <c r="G17" s="20">
        <v>30</v>
      </c>
      <c r="H17" s="20"/>
      <c r="I17" s="19" t="s">
        <v>49</v>
      </c>
      <c r="J17" s="21" t="s">
        <v>50</v>
      </c>
    </row>
    <row r="18" ht="15.6" spans="2:10">
      <c r="B18" s="23" t="s">
        <v>22</v>
      </c>
      <c r="C18" s="18" t="s">
        <v>23</v>
      </c>
      <c r="D18" s="19" t="s">
        <v>51</v>
      </c>
      <c r="E18" s="20">
        <v>7</v>
      </c>
      <c r="F18" s="20"/>
      <c r="G18" s="20">
        <v>36</v>
      </c>
      <c r="H18" s="20"/>
      <c r="I18" s="18" t="s">
        <v>52</v>
      </c>
      <c r="J18" s="21" t="s">
        <v>53</v>
      </c>
    </row>
    <row r="19" ht="15.6" spans="2:10">
      <c r="B19" s="23" t="s">
        <v>22</v>
      </c>
      <c r="C19" s="18" t="s">
        <v>23</v>
      </c>
      <c r="D19" s="19" t="s">
        <v>54</v>
      </c>
      <c r="E19" s="20"/>
      <c r="F19" s="20"/>
      <c r="G19" s="20">
        <v>17</v>
      </c>
      <c r="H19" s="20">
        <v>79</v>
      </c>
      <c r="I19" s="18" t="s">
        <v>55</v>
      </c>
      <c r="J19" s="22" t="s">
        <v>56</v>
      </c>
    </row>
    <row r="20" ht="15.6" spans="2:10">
      <c r="B20" s="23" t="s">
        <v>22</v>
      </c>
      <c r="C20" s="18" t="s">
        <v>23</v>
      </c>
      <c r="D20" s="19" t="s">
        <v>57</v>
      </c>
      <c r="E20" s="20">
        <v>7</v>
      </c>
      <c r="F20" s="20"/>
      <c r="G20" s="20">
        <v>18</v>
      </c>
      <c r="H20" s="20"/>
      <c r="I20" s="19" t="s">
        <v>58</v>
      </c>
      <c r="J20" s="21" t="s">
        <v>59</v>
      </c>
    </row>
    <row r="21" ht="30" spans="2:10">
      <c r="B21" s="23" t="s">
        <v>22</v>
      </c>
      <c r="C21" s="18" t="s">
        <v>23</v>
      </c>
      <c r="D21" s="18" t="s">
        <v>60</v>
      </c>
      <c r="E21" s="20">
        <v>4</v>
      </c>
      <c r="F21" s="20">
        <v>17</v>
      </c>
      <c r="G21" s="20">
        <v>16</v>
      </c>
      <c r="H21" s="20"/>
      <c r="I21" s="18" t="s">
        <v>61</v>
      </c>
      <c r="J21" s="21" t="s">
        <v>62</v>
      </c>
    </row>
    <row r="22" ht="15.6" spans="2:10">
      <c r="B22" s="23" t="s">
        <v>22</v>
      </c>
      <c r="C22" s="18" t="s">
        <v>23</v>
      </c>
      <c r="D22" s="19" t="s">
        <v>63</v>
      </c>
      <c r="E22" s="20"/>
      <c r="F22" s="20">
        <v>55</v>
      </c>
      <c r="G22" s="20"/>
      <c r="H22" s="20">
        <v>13</v>
      </c>
      <c r="I22" s="18" t="s">
        <v>64</v>
      </c>
      <c r="J22" s="22" t="s">
        <v>65</v>
      </c>
    </row>
    <row r="23" ht="27" spans="2:10">
      <c r="B23" s="23" t="s">
        <v>22</v>
      </c>
      <c r="C23" s="18" t="s">
        <v>23</v>
      </c>
      <c r="D23" s="19" t="s">
        <v>66</v>
      </c>
      <c r="E23" s="20">
        <v>3</v>
      </c>
      <c r="F23" s="20"/>
      <c r="G23" s="20">
        <v>16</v>
      </c>
      <c r="H23" s="20"/>
      <c r="I23" s="18" t="s">
        <v>67</v>
      </c>
      <c r="J23" s="22" t="s">
        <v>68</v>
      </c>
    </row>
    <row r="24" ht="15.6" spans="2:10">
      <c r="B24" s="23" t="s">
        <v>22</v>
      </c>
      <c r="C24" s="18" t="s">
        <v>23</v>
      </c>
      <c r="D24" s="18" t="s">
        <v>69</v>
      </c>
      <c r="E24" s="20">
        <v>6</v>
      </c>
      <c r="F24" s="20">
        <v>18</v>
      </c>
      <c r="G24" s="20"/>
      <c r="H24" s="20"/>
      <c r="I24" s="18" t="s">
        <v>70</v>
      </c>
      <c r="J24" s="22" t="s">
        <v>71</v>
      </c>
    </row>
    <row r="25" ht="15.6" spans="2:10">
      <c r="B25" s="23" t="s">
        <v>22</v>
      </c>
      <c r="C25" s="18" t="s">
        <v>23</v>
      </c>
      <c r="D25" s="19" t="s">
        <v>72</v>
      </c>
      <c r="E25" s="20">
        <v>4</v>
      </c>
      <c r="F25" s="20"/>
      <c r="G25" s="20">
        <v>12</v>
      </c>
      <c r="H25" s="20"/>
      <c r="I25" s="18" t="s">
        <v>73</v>
      </c>
      <c r="J25" s="21" t="s">
        <v>74</v>
      </c>
    </row>
    <row r="26" ht="15.6" spans="2:10">
      <c r="B26" s="23" t="s">
        <v>22</v>
      </c>
      <c r="C26" s="18" t="s">
        <v>23</v>
      </c>
      <c r="D26" s="18" t="s">
        <v>75</v>
      </c>
      <c r="E26" s="20">
        <v>6</v>
      </c>
      <c r="F26" s="20"/>
      <c r="G26" s="20"/>
      <c r="H26" s="20">
        <v>10</v>
      </c>
      <c r="I26" s="18" t="s">
        <v>76</v>
      </c>
      <c r="J26" s="21" t="s">
        <v>77</v>
      </c>
    </row>
    <row r="27" ht="15.6" spans="2:10">
      <c r="B27" s="23" t="s">
        <v>22</v>
      </c>
      <c r="C27" s="18" t="s">
        <v>23</v>
      </c>
      <c r="D27" s="19" t="s">
        <v>78</v>
      </c>
      <c r="E27" s="20">
        <v>1</v>
      </c>
      <c r="F27" s="20"/>
      <c r="G27" s="20"/>
      <c r="H27" s="20"/>
      <c r="I27" s="19" t="s">
        <v>79</v>
      </c>
      <c r="J27" s="22" t="s">
        <v>80</v>
      </c>
    </row>
    <row r="28" ht="15.6" spans="2:10">
      <c r="B28" s="23" t="s">
        <v>22</v>
      </c>
      <c r="C28" s="18" t="s">
        <v>23</v>
      </c>
      <c r="D28" s="18" t="s">
        <v>81</v>
      </c>
      <c r="E28" s="20"/>
      <c r="F28" s="20"/>
      <c r="G28" s="20"/>
      <c r="H28" s="20"/>
      <c r="I28" s="18" t="s">
        <v>82</v>
      </c>
      <c r="J28" s="21" t="s">
        <v>83</v>
      </c>
    </row>
    <row r="29" ht="15.6" spans="2:10">
      <c r="B29" s="23" t="s">
        <v>22</v>
      </c>
      <c r="C29" s="18" t="s">
        <v>23</v>
      </c>
      <c r="D29" s="19" t="s">
        <v>84</v>
      </c>
      <c r="E29" s="20"/>
      <c r="F29" s="20"/>
      <c r="G29" s="20"/>
      <c r="H29" s="20"/>
      <c r="I29" s="18" t="s">
        <v>85</v>
      </c>
      <c r="J29" s="21" t="s">
        <v>86</v>
      </c>
    </row>
    <row r="30" ht="15.6" spans="2:10">
      <c r="B30" s="23" t="s">
        <v>22</v>
      </c>
      <c r="C30" s="18" t="s">
        <v>23</v>
      </c>
      <c r="D30" s="18" t="s">
        <v>87</v>
      </c>
      <c r="E30" s="20"/>
      <c r="F30" s="20">
        <v>17</v>
      </c>
      <c r="G30" s="20">
        <v>14</v>
      </c>
      <c r="H30" s="20"/>
      <c r="I30" s="18" t="s">
        <v>88</v>
      </c>
      <c r="J30" s="21" t="s">
        <v>89</v>
      </c>
    </row>
    <row r="31" ht="15.6" spans="2:10">
      <c r="B31" s="23" t="s">
        <v>22</v>
      </c>
      <c r="C31" s="18" t="s">
        <v>23</v>
      </c>
      <c r="D31" s="19" t="s">
        <v>90</v>
      </c>
      <c r="E31" s="20"/>
      <c r="F31" s="20">
        <v>34</v>
      </c>
      <c r="G31" s="20"/>
      <c r="H31" s="20">
        <v>16</v>
      </c>
      <c r="I31" s="18" t="s">
        <v>91</v>
      </c>
      <c r="J31" s="21" t="s">
        <v>92</v>
      </c>
    </row>
    <row r="32" ht="15.6" spans="2:10">
      <c r="B32" s="23" t="s">
        <v>22</v>
      </c>
      <c r="C32" s="18" t="s">
        <v>23</v>
      </c>
      <c r="D32" s="19" t="s">
        <v>93</v>
      </c>
      <c r="E32" s="20">
        <v>3</v>
      </c>
      <c r="F32" s="20"/>
      <c r="G32" s="20"/>
      <c r="H32" s="20"/>
      <c r="I32" s="19" t="s">
        <v>94</v>
      </c>
      <c r="J32" s="22" t="s">
        <v>95</v>
      </c>
    </row>
    <row r="33" ht="27" spans="2:10">
      <c r="B33" s="23" t="s">
        <v>22</v>
      </c>
      <c r="C33" s="18" t="s">
        <v>23</v>
      </c>
      <c r="D33" s="18" t="s">
        <v>96</v>
      </c>
      <c r="E33" s="20"/>
      <c r="F33" s="20"/>
      <c r="G33" s="20"/>
      <c r="H33" s="20"/>
      <c r="I33" s="18" t="s">
        <v>97</v>
      </c>
      <c r="J33" s="22" t="s">
        <v>98</v>
      </c>
    </row>
    <row r="34" ht="15.6" spans="2:10">
      <c r="B34" s="23" t="s">
        <v>22</v>
      </c>
      <c r="C34" s="18" t="s">
        <v>23</v>
      </c>
      <c r="D34" s="19" t="s">
        <v>99</v>
      </c>
      <c r="E34" s="20"/>
      <c r="F34" s="20"/>
      <c r="G34" s="20"/>
      <c r="H34" s="20"/>
      <c r="I34" s="18" t="s">
        <v>100</v>
      </c>
      <c r="J34" s="21" t="s">
        <v>101</v>
      </c>
    </row>
    <row r="35" ht="15.6" spans="2:10">
      <c r="B35" s="24" t="s">
        <v>102</v>
      </c>
      <c r="C35" s="19" t="s">
        <v>103</v>
      </c>
      <c r="D35" s="19" t="s">
        <v>104</v>
      </c>
      <c r="E35" s="20"/>
      <c r="F35" s="20">
        <v>41</v>
      </c>
      <c r="G35" s="20"/>
      <c r="H35" s="20"/>
      <c r="I35" s="18" t="s">
        <v>105</v>
      </c>
      <c r="J35" s="21" t="s">
        <v>106</v>
      </c>
    </row>
    <row r="36" ht="27" spans="2:10">
      <c r="B36" s="24" t="s">
        <v>102</v>
      </c>
      <c r="C36" s="19" t="s">
        <v>103</v>
      </c>
      <c r="D36" s="19" t="s">
        <v>107</v>
      </c>
      <c r="E36" s="20"/>
      <c r="F36" s="20">
        <v>28</v>
      </c>
      <c r="G36" s="20">
        <v>4</v>
      </c>
      <c r="H36" s="20"/>
      <c r="I36" s="18" t="s">
        <v>108</v>
      </c>
      <c r="J36" s="22" t="s">
        <v>109</v>
      </c>
    </row>
    <row r="37" ht="15.6" spans="2:10">
      <c r="B37" s="24" t="s">
        <v>102</v>
      </c>
      <c r="C37" s="19" t="s">
        <v>103</v>
      </c>
      <c r="D37" s="19" t="s">
        <v>110</v>
      </c>
      <c r="E37" s="20"/>
      <c r="F37" s="20">
        <v>4</v>
      </c>
      <c r="G37" s="20"/>
      <c r="H37" s="20"/>
      <c r="I37" s="18" t="s">
        <v>111</v>
      </c>
      <c r="J37" s="22" t="s">
        <v>112</v>
      </c>
    </row>
    <row r="38" ht="15.6" spans="2:10">
      <c r="B38" s="24" t="s">
        <v>102</v>
      </c>
      <c r="C38" s="19" t="s">
        <v>103</v>
      </c>
      <c r="D38" s="19" t="s">
        <v>113</v>
      </c>
      <c r="E38" s="20"/>
      <c r="F38" s="20"/>
      <c r="G38" s="20"/>
      <c r="H38" s="20"/>
      <c r="I38" s="18" t="s">
        <v>114</v>
      </c>
      <c r="J38" s="21" t="s">
        <v>115</v>
      </c>
    </row>
    <row r="39" ht="15.6" spans="2:10">
      <c r="B39" s="24" t="s">
        <v>102</v>
      </c>
      <c r="C39" s="19" t="s">
        <v>103</v>
      </c>
      <c r="D39" s="19" t="s">
        <v>116</v>
      </c>
      <c r="E39" s="20">
        <v>2</v>
      </c>
      <c r="F39" s="20"/>
      <c r="G39" s="20"/>
      <c r="H39" s="20"/>
      <c r="I39" s="19" t="s">
        <v>117</v>
      </c>
      <c r="J39" s="21" t="s">
        <v>118</v>
      </c>
    </row>
    <row r="40" ht="15.6" spans="2:10">
      <c r="B40" s="24" t="s">
        <v>102</v>
      </c>
      <c r="C40" s="19" t="s">
        <v>103</v>
      </c>
      <c r="D40" s="18" t="s">
        <v>119</v>
      </c>
      <c r="E40" s="20"/>
      <c r="F40" s="20"/>
      <c r="G40" s="20"/>
      <c r="H40" s="20"/>
      <c r="I40" s="18" t="s">
        <v>120</v>
      </c>
      <c r="J40" s="21" t="s">
        <v>121</v>
      </c>
    </row>
    <row r="41" ht="15.6" spans="2:10">
      <c r="B41" s="24" t="s">
        <v>102</v>
      </c>
      <c r="C41" s="19" t="s">
        <v>103</v>
      </c>
      <c r="D41" s="18" t="s">
        <v>122</v>
      </c>
      <c r="E41" s="20"/>
      <c r="F41" s="20">
        <v>4</v>
      </c>
      <c r="G41" s="20"/>
      <c r="H41" s="20"/>
      <c r="I41" s="18" t="s">
        <v>111</v>
      </c>
      <c r="J41" s="21" t="s">
        <v>123</v>
      </c>
    </row>
    <row r="42" ht="15.6" spans="2:10">
      <c r="B42" s="24" t="s">
        <v>102</v>
      </c>
      <c r="C42" s="19" t="s">
        <v>103</v>
      </c>
      <c r="D42" s="18" t="s">
        <v>124</v>
      </c>
      <c r="E42" s="20"/>
      <c r="F42" s="20">
        <v>8</v>
      </c>
      <c r="G42" s="20"/>
      <c r="H42" s="20"/>
      <c r="I42" s="18" t="s">
        <v>125</v>
      </c>
      <c r="J42" s="22" t="s">
        <v>126</v>
      </c>
    </row>
    <row r="43" ht="15.6" spans="2:10">
      <c r="B43" s="24" t="s">
        <v>102</v>
      </c>
      <c r="C43" s="19" t="s">
        <v>103</v>
      </c>
      <c r="D43" s="19" t="s">
        <v>127</v>
      </c>
      <c r="E43" s="20"/>
      <c r="F43" s="20"/>
      <c r="G43" s="20"/>
      <c r="H43" s="20"/>
      <c r="I43" s="18" t="s">
        <v>128</v>
      </c>
      <c r="J43" s="22" t="s">
        <v>129</v>
      </c>
    </row>
    <row r="44" ht="15.6" spans="2:10">
      <c r="B44" s="24" t="s">
        <v>102</v>
      </c>
      <c r="C44" s="19" t="s">
        <v>103</v>
      </c>
      <c r="D44" s="19" t="s">
        <v>130</v>
      </c>
      <c r="E44" s="20"/>
      <c r="F44" s="20"/>
      <c r="G44" s="20"/>
      <c r="H44" s="20"/>
      <c r="I44" s="18" t="s">
        <v>131</v>
      </c>
      <c r="J44" s="22" t="s">
        <v>132</v>
      </c>
    </row>
    <row r="45" ht="15.6" spans="2:10">
      <c r="B45" s="24" t="s">
        <v>102</v>
      </c>
      <c r="C45" s="19" t="s">
        <v>103</v>
      </c>
      <c r="D45" s="19" t="s">
        <v>133</v>
      </c>
      <c r="E45" s="20"/>
      <c r="F45" s="20"/>
      <c r="G45" s="20"/>
      <c r="H45" s="20"/>
      <c r="I45" s="18" t="s">
        <v>131</v>
      </c>
      <c r="J45" s="22" t="s">
        <v>134</v>
      </c>
    </row>
    <row r="46" ht="15.6" spans="2:10">
      <c r="B46" s="24" t="s">
        <v>102</v>
      </c>
      <c r="C46" s="19" t="s">
        <v>103</v>
      </c>
      <c r="D46" s="18" t="s">
        <v>135</v>
      </c>
      <c r="E46" s="20"/>
      <c r="F46" s="20"/>
      <c r="G46" s="20"/>
      <c r="H46" s="20"/>
      <c r="I46" s="18" t="s">
        <v>136</v>
      </c>
      <c r="J46" s="21" t="s">
        <v>137</v>
      </c>
    </row>
    <row r="47" ht="15.6" spans="2:10">
      <c r="B47" s="24" t="s">
        <v>102</v>
      </c>
      <c r="C47" s="19" t="s">
        <v>103</v>
      </c>
      <c r="D47" s="19" t="s">
        <v>138</v>
      </c>
      <c r="E47" s="20"/>
      <c r="F47" s="20"/>
      <c r="G47" s="20"/>
      <c r="H47" s="20"/>
      <c r="I47" s="18" t="s">
        <v>139</v>
      </c>
      <c r="J47" s="22" t="s">
        <v>140</v>
      </c>
    </row>
    <row r="48" ht="15.6" spans="2:10">
      <c r="B48" s="24" t="s">
        <v>102</v>
      </c>
      <c r="C48" s="19" t="s">
        <v>103</v>
      </c>
      <c r="D48" s="19" t="s">
        <v>141</v>
      </c>
      <c r="E48" s="20"/>
      <c r="F48" s="20"/>
      <c r="G48" s="20"/>
      <c r="H48" s="20"/>
      <c r="I48" s="19" t="s">
        <v>142</v>
      </c>
      <c r="J48" s="22" t="s">
        <v>143</v>
      </c>
    </row>
    <row r="49" ht="15.6" spans="2:10">
      <c r="B49" s="24" t="s">
        <v>102</v>
      </c>
      <c r="C49" s="19" t="s">
        <v>103</v>
      </c>
      <c r="D49" s="19" t="s">
        <v>144</v>
      </c>
      <c r="E49" s="20"/>
      <c r="F49" s="20"/>
      <c r="G49" s="20"/>
      <c r="H49" s="20"/>
      <c r="I49" s="18" t="s">
        <v>145</v>
      </c>
      <c r="J49" s="22" t="s">
        <v>146</v>
      </c>
    </row>
    <row r="50" ht="15.6" spans="2:10">
      <c r="B50" s="24" t="s">
        <v>102</v>
      </c>
      <c r="C50" s="19" t="s">
        <v>103</v>
      </c>
      <c r="D50" s="19" t="s">
        <v>147</v>
      </c>
      <c r="E50" s="20"/>
      <c r="F50" s="20"/>
      <c r="G50" s="20"/>
      <c r="H50" s="20"/>
      <c r="I50" s="19" t="s">
        <v>148</v>
      </c>
      <c r="J50" s="22" t="s">
        <v>149</v>
      </c>
    </row>
    <row r="51" ht="15.6" spans="2:10">
      <c r="B51" s="24" t="s">
        <v>102</v>
      </c>
      <c r="C51" s="19" t="s">
        <v>103</v>
      </c>
      <c r="D51" s="18" t="s">
        <v>150</v>
      </c>
      <c r="E51" s="20"/>
      <c r="F51" s="20"/>
      <c r="G51" s="20"/>
      <c r="H51" s="20"/>
      <c r="I51" s="18" t="s">
        <v>131</v>
      </c>
      <c r="J51" s="21" t="s">
        <v>151</v>
      </c>
    </row>
    <row r="52" ht="15.6" spans="2:10">
      <c r="B52" s="24" t="s">
        <v>102</v>
      </c>
      <c r="C52" s="19" t="s">
        <v>103</v>
      </c>
      <c r="D52" s="19" t="s">
        <v>152</v>
      </c>
      <c r="E52" s="20"/>
      <c r="F52" s="20"/>
      <c r="G52" s="20"/>
      <c r="H52" s="20"/>
      <c r="I52" s="18" t="s">
        <v>131</v>
      </c>
      <c r="J52" s="21" t="s">
        <v>153</v>
      </c>
    </row>
    <row r="53" ht="15.6" spans="2:10">
      <c r="B53" s="24" t="s">
        <v>102</v>
      </c>
      <c r="C53" s="19" t="s">
        <v>103</v>
      </c>
      <c r="D53" s="18" t="s">
        <v>154</v>
      </c>
      <c r="E53" s="20"/>
      <c r="F53" s="20"/>
      <c r="G53" s="20"/>
      <c r="H53" s="20"/>
      <c r="I53" s="18" t="s">
        <v>131</v>
      </c>
      <c r="J53" s="21" t="s">
        <v>155</v>
      </c>
    </row>
    <row r="54" ht="15.6" spans="2:10">
      <c r="B54" s="24" t="s">
        <v>102</v>
      </c>
      <c r="C54" s="19" t="s">
        <v>103</v>
      </c>
      <c r="D54" s="19" t="s">
        <v>156</v>
      </c>
      <c r="E54" s="20"/>
      <c r="F54" s="20"/>
      <c r="G54" s="20"/>
      <c r="H54" s="20"/>
      <c r="I54" s="18" t="s">
        <v>157</v>
      </c>
      <c r="J54" s="21" t="s">
        <v>158</v>
      </c>
    </row>
    <row r="55" ht="15.6" spans="2:10">
      <c r="B55" s="24" t="s">
        <v>102</v>
      </c>
      <c r="C55" s="19" t="s">
        <v>103</v>
      </c>
      <c r="D55" s="19" t="s">
        <v>159</v>
      </c>
      <c r="E55" s="20"/>
      <c r="F55" s="20"/>
      <c r="G55" s="20"/>
      <c r="H55" s="20"/>
      <c r="I55" s="18" t="s">
        <v>160</v>
      </c>
      <c r="J55" s="21" t="s">
        <v>161</v>
      </c>
    </row>
    <row r="56" ht="15.6" spans="2:10">
      <c r="B56" s="24" t="s">
        <v>102</v>
      </c>
      <c r="C56" s="19" t="s">
        <v>103</v>
      </c>
      <c r="D56" s="19" t="s">
        <v>162</v>
      </c>
      <c r="E56" s="20"/>
      <c r="F56" s="20"/>
      <c r="G56" s="20"/>
      <c r="H56" s="20"/>
      <c r="I56" s="18" t="s">
        <v>163</v>
      </c>
      <c r="J56" s="22" t="s">
        <v>164</v>
      </c>
    </row>
    <row r="57" ht="15.6" spans="2:10">
      <c r="B57" s="24" t="s">
        <v>102</v>
      </c>
      <c r="C57" s="19" t="s">
        <v>103</v>
      </c>
      <c r="D57" s="19" t="s">
        <v>165</v>
      </c>
      <c r="E57" s="20"/>
      <c r="F57" s="20"/>
      <c r="G57" s="20"/>
      <c r="H57" s="20"/>
      <c r="I57" s="18" t="s">
        <v>166</v>
      </c>
      <c r="J57" s="22" t="s">
        <v>167</v>
      </c>
    </row>
    <row r="58" ht="15.6" spans="2:10">
      <c r="B58" s="24" t="s">
        <v>102</v>
      </c>
      <c r="C58" s="19" t="s">
        <v>103</v>
      </c>
      <c r="D58" s="19" t="s">
        <v>168</v>
      </c>
      <c r="E58" s="20"/>
      <c r="F58" s="20"/>
      <c r="G58" s="20"/>
      <c r="H58" s="20"/>
      <c r="I58" s="18" t="s">
        <v>169</v>
      </c>
      <c r="J58" s="22" t="s">
        <v>170</v>
      </c>
    </row>
    <row r="59" ht="15.6" spans="2:10">
      <c r="B59" s="24" t="s">
        <v>102</v>
      </c>
      <c r="C59" s="19" t="s">
        <v>103</v>
      </c>
      <c r="D59" s="19" t="s">
        <v>171</v>
      </c>
      <c r="E59" s="20"/>
      <c r="F59" s="20"/>
      <c r="G59" s="20"/>
      <c r="H59" s="20"/>
      <c r="I59" s="18" t="s">
        <v>172</v>
      </c>
      <c r="J59" s="22" t="s">
        <v>173</v>
      </c>
    </row>
    <row r="60" ht="15.6" spans="2:10">
      <c r="B60" s="25" t="s">
        <v>174</v>
      </c>
      <c r="C60" s="18" t="s">
        <v>175</v>
      </c>
      <c r="D60" s="19" t="s">
        <v>176</v>
      </c>
      <c r="E60" s="20"/>
      <c r="F60" s="20"/>
      <c r="G60" s="20"/>
      <c r="H60" s="20"/>
      <c r="I60" s="18"/>
      <c r="J60" s="22" t="s">
        <v>177</v>
      </c>
    </row>
    <row r="61" ht="15.6" spans="2:10">
      <c r="B61" s="25" t="s">
        <v>174</v>
      </c>
      <c r="C61" s="18" t="s">
        <v>175</v>
      </c>
      <c r="D61" s="19" t="s">
        <v>178</v>
      </c>
      <c r="E61" s="20"/>
      <c r="F61" s="20"/>
      <c r="G61" s="20"/>
      <c r="H61" s="20"/>
      <c r="I61" s="18"/>
      <c r="J61" s="21" t="s">
        <v>179</v>
      </c>
    </row>
    <row r="62" ht="15.6" spans="2:10">
      <c r="B62" s="25" t="s">
        <v>174</v>
      </c>
      <c r="C62" s="18" t="s">
        <v>175</v>
      </c>
      <c r="D62" s="19" t="s">
        <v>180</v>
      </c>
      <c r="E62" s="20"/>
      <c r="F62" s="20"/>
      <c r="G62" s="20"/>
      <c r="H62" s="20"/>
      <c r="I62" s="18"/>
      <c r="J62" s="21" t="s">
        <v>181</v>
      </c>
    </row>
    <row r="63" ht="15.6" spans="2:10">
      <c r="B63" s="25" t="s">
        <v>174</v>
      </c>
      <c r="C63" s="18" t="s">
        <v>175</v>
      </c>
      <c r="D63" s="19" t="s">
        <v>182</v>
      </c>
      <c r="E63" s="20"/>
      <c r="F63" s="20"/>
      <c r="G63" s="20"/>
      <c r="H63" s="20"/>
      <c r="I63" s="18"/>
      <c r="J63" s="21" t="s">
        <v>183</v>
      </c>
    </row>
    <row r="64" ht="15.6" spans="2:10">
      <c r="B64" s="25" t="s">
        <v>174</v>
      </c>
      <c r="C64" s="18" t="s">
        <v>175</v>
      </c>
      <c r="D64" s="19" t="s">
        <v>184</v>
      </c>
      <c r="E64" s="20"/>
      <c r="F64" s="20"/>
      <c r="G64" s="20"/>
      <c r="H64" s="20"/>
      <c r="I64" s="18"/>
      <c r="J64" s="21" t="s">
        <v>185</v>
      </c>
    </row>
    <row r="65" ht="15.6" spans="2:10">
      <c r="B65" s="25" t="s">
        <v>174</v>
      </c>
      <c r="C65" s="18" t="s">
        <v>175</v>
      </c>
      <c r="D65" s="19" t="s">
        <v>186</v>
      </c>
      <c r="E65" s="20"/>
      <c r="F65" s="20"/>
      <c r="G65" s="20"/>
      <c r="H65" s="20"/>
      <c r="I65" s="18"/>
      <c r="J65" s="21" t="s">
        <v>187</v>
      </c>
    </row>
    <row r="66" ht="15.6" spans="2:10">
      <c r="B66" s="25" t="s">
        <v>174</v>
      </c>
      <c r="C66" s="18" t="s">
        <v>175</v>
      </c>
      <c r="D66" s="19" t="s">
        <v>188</v>
      </c>
      <c r="E66" s="20"/>
      <c r="F66" s="20"/>
      <c r="G66" s="20"/>
      <c r="H66" s="20"/>
      <c r="I66" s="18"/>
      <c r="J66" s="21" t="s">
        <v>189</v>
      </c>
    </row>
    <row r="67" ht="15.6" spans="2:10">
      <c r="B67" s="25" t="s">
        <v>174</v>
      </c>
      <c r="C67" s="18" t="s">
        <v>175</v>
      </c>
      <c r="D67" s="19" t="s">
        <v>190</v>
      </c>
      <c r="E67" s="20"/>
      <c r="F67" s="20"/>
      <c r="G67" s="20"/>
      <c r="H67" s="20"/>
      <c r="I67" s="18"/>
      <c r="J67" s="21" t="s">
        <v>191</v>
      </c>
    </row>
    <row r="68" ht="15.6" spans="2:10">
      <c r="B68" s="25" t="s">
        <v>174</v>
      </c>
      <c r="C68" s="18" t="s">
        <v>175</v>
      </c>
      <c r="D68" s="19" t="s">
        <v>192</v>
      </c>
      <c r="E68" s="20"/>
      <c r="F68" s="20"/>
      <c r="G68" s="20"/>
      <c r="H68" s="20"/>
      <c r="I68" s="18"/>
      <c r="J68" s="21" t="s">
        <v>193</v>
      </c>
    </row>
    <row r="69" ht="15.6" spans="2:10">
      <c r="B69" s="25" t="s">
        <v>174</v>
      </c>
      <c r="C69" s="18" t="s">
        <v>175</v>
      </c>
      <c r="D69" s="19" t="s">
        <v>194</v>
      </c>
      <c r="E69" s="20"/>
      <c r="F69" s="20"/>
      <c r="G69" s="20"/>
      <c r="H69" s="20"/>
      <c r="I69" s="18"/>
      <c r="J69" s="21" t="s">
        <v>195</v>
      </c>
    </row>
    <row r="70" ht="15.6" spans="2:10">
      <c r="B70" s="25" t="s">
        <v>174</v>
      </c>
      <c r="C70" s="18" t="s">
        <v>175</v>
      </c>
      <c r="D70" s="19" t="s">
        <v>196</v>
      </c>
      <c r="E70" s="20"/>
      <c r="F70" s="20"/>
      <c r="G70" s="20"/>
      <c r="H70" s="20"/>
      <c r="I70" s="18"/>
      <c r="J70" s="21" t="s">
        <v>197</v>
      </c>
    </row>
    <row r="71" ht="15.6" spans="2:10">
      <c r="B71" s="25" t="s">
        <v>174</v>
      </c>
      <c r="C71" s="18" t="s">
        <v>175</v>
      </c>
      <c r="D71" s="19" t="s">
        <v>198</v>
      </c>
      <c r="E71" s="20"/>
      <c r="F71" s="20"/>
      <c r="G71" s="20"/>
      <c r="H71" s="20"/>
      <c r="I71" s="18"/>
      <c r="J71" s="21" t="s">
        <v>199</v>
      </c>
    </row>
    <row r="72" ht="15.6" spans="2:10">
      <c r="B72" s="25" t="s">
        <v>174</v>
      </c>
      <c r="C72" s="18" t="s">
        <v>175</v>
      </c>
      <c r="D72" s="19" t="s">
        <v>200</v>
      </c>
      <c r="E72" s="20"/>
      <c r="F72" s="20"/>
      <c r="G72" s="20"/>
      <c r="H72" s="20"/>
      <c r="I72" s="18"/>
      <c r="J72" s="22" t="s">
        <v>201</v>
      </c>
    </row>
    <row r="73" ht="15.6" spans="2:10">
      <c r="B73" s="25" t="s">
        <v>174</v>
      </c>
      <c r="C73" s="18" t="s">
        <v>175</v>
      </c>
      <c r="D73" s="19" t="s">
        <v>202</v>
      </c>
      <c r="E73" s="20"/>
      <c r="F73" s="20"/>
      <c r="G73" s="20"/>
      <c r="H73" s="20"/>
      <c r="I73" s="18"/>
      <c r="J73" s="21" t="s">
        <v>203</v>
      </c>
    </row>
    <row r="74" ht="15.6" spans="2:10">
      <c r="B74" s="25" t="s">
        <v>174</v>
      </c>
      <c r="C74" s="18" t="s">
        <v>175</v>
      </c>
      <c r="D74" s="19" t="s">
        <v>204</v>
      </c>
      <c r="E74" s="20"/>
      <c r="F74" s="20"/>
      <c r="G74" s="20"/>
      <c r="H74" s="20"/>
      <c r="I74" s="18"/>
      <c r="J74" s="21" t="s">
        <v>205</v>
      </c>
    </row>
    <row r="75" ht="15.6" spans="2:10">
      <c r="B75" s="25" t="s">
        <v>174</v>
      </c>
      <c r="C75" s="18" t="s">
        <v>175</v>
      </c>
      <c r="D75" s="19" t="s">
        <v>206</v>
      </c>
      <c r="E75" s="20"/>
      <c r="F75" s="20"/>
      <c r="G75" s="20"/>
      <c r="H75" s="20"/>
      <c r="I75" s="18"/>
      <c r="J75" s="22" t="s">
        <v>207</v>
      </c>
    </row>
    <row r="76" ht="15.6" spans="2:10">
      <c r="B76" s="25" t="s">
        <v>174</v>
      </c>
      <c r="C76" s="18" t="s">
        <v>175</v>
      </c>
      <c r="D76" s="19" t="s">
        <v>208</v>
      </c>
      <c r="E76" s="20"/>
      <c r="F76" s="20"/>
      <c r="G76" s="20"/>
      <c r="H76" s="20"/>
      <c r="I76" s="18"/>
      <c r="J76" s="21" t="s">
        <v>209</v>
      </c>
    </row>
    <row r="77" ht="15.6" spans="2:10">
      <c r="B77" s="25" t="s">
        <v>174</v>
      </c>
      <c r="C77" s="18" t="s">
        <v>175</v>
      </c>
      <c r="D77" s="18" t="s">
        <v>210</v>
      </c>
      <c r="E77" s="20"/>
      <c r="F77" s="20"/>
      <c r="G77" s="20"/>
      <c r="H77" s="20"/>
      <c r="I77" s="18"/>
      <c r="J77" s="21" t="s">
        <v>211</v>
      </c>
    </row>
    <row r="78" ht="15.6" spans="2:10">
      <c r="B78" s="25" t="s">
        <v>174</v>
      </c>
      <c r="C78" s="18" t="s">
        <v>175</v>
      </c>
      <c r="D78" s="19" t="s">
        <v>212</v>
      </c>
      <c r="E78" s="20"/>
      <c r="F78" s="20"/>
      <c r="G78" s="20"/>
      <c r="H78" s="20"/>
      <c r="I78" s="18"/>
      <c r="J78" s="21" t="s">
        <v>213</v>
      </c>
    </row>
    <row r="79" ht="15.6" spans="2:10">
      <c r="B79" s="25" t="s">
        <v>174</v>
      </c>
      <c r="C79" s="18" t="s">
        <v>175</v>
      </c>
      <c r="D79" s="19" t="s">
        <v>214</v>
      </c>
      <c r="E79" s="20"/>
      <c r="F79" s="20"/>
      <c r="G79" s="20"/>
      <c r="H79" s="20"/>
      <c r="I79" s="18"/>
      <c r="J79" s="21" t="s">
        <v>215</v>
      </c>
    </row>
    <row r="80" ht="15.6" spans="2:10">
      <c r="B80" s="25" t="s">
        <v>174</v>
      </c>
      <c r="C80" s="18" t="s">
        <v>175</v>
      </c>
      <c r="D80" s="18" t="s">
        <v>216</v>
      </c>
      <c r="E80" s="20"/>
      <c r="F80" s="20"/>
      <c r="G80" s="20"/>
      <c r="H80" s="20"/>
      <c r="I80" s="18"/>
      <c r="J80" s="21" t="s">
        <v>217</v>
      </c>
    </row>
    <row r="81" ht="15.6" spans="2:10">
      <c r="B81" s="25" t="s">
        <v>174</v>
      </c>
      <c r="C81" s="18" t="s">
        <v>175</v>
      </c>
      <c r="D81" s="19" t="s">
        <v>218</v>
      </c>
      <c r="E81" s="20"/>
      <c r="F81" s="20"/>
      <c r="G81" s="20"/>
      <c r="H81" s="20"/>
      <c r="I81" s="18"/>
      <c r="J81" s="21" t="s">
        <v>219</v>
      </c>
    </row>
    <row r="82" ht="15.6" spans="2:10">
      <c r="B82" s="25" t="s">
        <v>174</v>
      </c>
      <c r="C82" s="18" t="s">
        <v>175</v>
      </c>
      <c r="D82" s="18" t="s">
        <v>220</v>
      </c>
      <c r="E82" s="20"/>
      <c r="F82" s="20"/>
      <c r="G82" s="20"/>
      <c r="H82" s="20"/>
      <c r="I82" s="18"/>
      <c r="J82" s="21" t="s">
        <v>221</v>
      </c>
    </row>
    <row r="83" ht="15.6" spans="2:10">
      <c r="B83" s="25" t="s">
        <v>174</v>
      </c>
      <c r="C83" s="18" t="s">
        <v>175</v>
      </c>
      <c r="D83" s="19" t="s">
        <v>222</v>
      </c>
      <c r="E83" s="20"/>
      <c r="F83" s="20"/>
      <c r="G83" s="20"/>
      <c r="H83" s="20"/>
      <c r="I83" s="18"/>
      <c r="J83" s="21" t="s">
        <v>223</v>
      </c>
    </row>
    <row r="84" ht="15.6" spans="2:10">
      <c r="B84" s="25" t="s">
        <v>174</v>
      </c>
      <c r="C84" s="18" t="s">
        <v>175</v>
      </c>
      <c r="D84" s="18" t="s">
        <v>224</v>
      </c>
      <c r="E84" s="20"/>
      <c r="F84" s="20"/>
      <c r="G84" s="20"/>
      <c r="H84" s="20"/>
      <c r="I84" s="18"/>
      <c r="J84" s="21" t="s">
        <v>225</v>
      </c>
    </row>
    <row r="85" ht="15.6" spans="2:10">
      <c r="B85" s="25" t="s">
        <v>174</v>
      </c>
      <c r="C85" s="18" t="s">
        <v>175</v>
      </c>
      <c r="D85" s="19" t="s">
        <v>226</v>
      </c>
      <c r="E85" s="20"/>
      <c r="F85" s="20"/>
      <c r="G85" s="20"/>
      <c r="H85" s="20"/>
      <c r="I85" s="18"/>
      <c r="J85" s="21" t="s">
        <v>227</v>
      </c>
    </row>
    <row r="86" ht="15.6" spans="2:10">
      <c r="B86" s="25" t="s">
        <v>174</v>
      </c>
      <c r="C86" s="18" t="s">
        <v>175</v>
      </c>
      <c r="D86" s="19" t="s">
        <v>228</v>
      </c>
      <c r="E86" s="20"/>
      <c r="F86" s="20"/>
      <c r="G86" s="20"/>
      <c r="H86" s="20"/>
      <c r="I86" s="18"/>
      <c r="J86" s="22" t="s">
        <v>229</v>
      </c>
    </row>
    <row r="87" ht="15.6" spans="2:10">
      <c r="B87" s="25" t="s">
        <v>174</v>
      </c>
      <c r="C87" s="18" t="s">
        <v>175</v>
      </c>
      <c r="D87" s="18" t="s">
        <v>230</v>
      </c>
      <c r="E87" s="20"/>
      <c r="F87" s="20"/>
      <c r="G87" s="20"/>
      <c r="H87" s="20"/>
      <c r="I87" s="18"/>
      <c r="J87" s="21" t="s">
        <v>231</v>
      </c>
    </row>
    <row r="88" ht="15.6" spans="2:10">
      <c r="B88" s="25" t="s">
        <v>174</v>
      </c>
      <c r="C88" s="18" t="s">
        <v>175</v>
      </c>
      <c r="D88" s="19" t="s">
        <v>232</v>
      </c>
      <c r="E88" s="20"/>
      <c r="F88" s="20"/>
      <c r="G88" s="20"/>
      <c r="H88" s="20"/>
      <c r="I88" s="18"/>
      <c r="J88" s="21" t="s">
        <v>233</v>
      </c>
    </row>
    <row r="89" ht="15.6" spans="2:10">
      <c r="B89" s="25" t="s">
        <v>174</v>
      </c>
      <c r="C89" s="18" t="s">
        <v>175</v>
      </c>
      <c r="D89" s="18" t="s">
        <v>234</v>
      </c>
      <c r="E89" s="20"/>
      <c r="F89" s="20"/>
      <c r="G89" s="20"/>
      <c r="H89" s="20"/>
      <c r="I89" s="18"/>
      <c r="J89" s="22" t="s">
        <v>235</v>
      </c>
    </row>
    <row r="90" ht="15.6" spans="2:10">
      <c r="B90" s="26" t="s">
        <v>236</v>
      </c>
      <c r="C90" s="18" t="s">
        <v>237</v>
      </c>
      <c r="D90" s="19" t="s">
        <v>238</v>
      </c>
      <c r="E90" s="20"/>
      <c r="F90" s="20"/>
      <c r="G90" s="20"/>
      <c r="H90" s="20"/>
      <c r="I90" s="18"/>
      <c r="J90" s="21" t="s">
        <v>239</v>
      </c>
    </row>
    <row r="91" ht="15.6" spans="2:10">
      <c r="B91" s="26" t="s">
        <v>236</v>
      </c>
      <c r="C91" s="18" t="s">
        <v>237</v>
      </c>
      <c r="D91" s="19" t="s">
        <v>240</v>
      </c>
      <c r="E91" s="20"/>
      <c r="F91" s="20"/>
      <c r="G91" s="20"/>
      <c r="H91" s="20"/>
      <c r="I91" s="18"/>
      <c r="J91" s="21" t="s">
        <v>241</v>
      </c>
    </row>
    <row r="92" ht="15.6" spans="2:10">
      <c r="B92" s="26" t="s">
        <v>236</v>
      </c>
      <c r="C92" s="18" t="s">
        <v>237</v>
      </c>
      <c r="D92" s="19" t="s">
        <v>242</v>
      </c>
      <c r="E92" s="20"/>
      <c r="F92" s="20"/>
      <c r="G92" s="20"/>
      <c r="H92" s="20"/>
      <c r="I92" s="18"/>
      <c r="J92" s="21" t="s">
        <v>243</v>
      </c>
    </row>
    <row r="93" ht="15.6" spans="2:10">
      <c r="B93" s="26" t="s">
        <v>236</v>
      </c>
      <c r="C93" s="18" t="s">
        <v>237</v>
      </c>
      <c r="D93" s="19" t="s">
        <v>244</v>
      </c>
      <c r="E93" s="20"/>
      <c r="F93" s="20"/>
      <c r="G93" s="20"/>
      <c r="H93" s="20"/>
      <c r="I93" s="18"/>
      <c r="J93" s="21" t="s">
        <v>245</v>
      </c>
    </row>
    <row r="94" ht="15.6" spans="2:10">
      <c r="B94" s="26" t="s">
        <v>236</v>
      </c>
      <c r="C94" s="18" t="s">
        <v>237</v>
      </c>
      <c r="D94" s="19" t="s">
        <v>246</v>
      </c>
      <c r="E94" s="20"/>
      <c r="F94" s="20"/>
      <c r="G94" s="20"/>
      <c r="H94" s="20"/>
      <c r="I94" s="18"/>
      <c r="J94" s="21" t="s">
        <v>247</v>
      </c>
    </row>
    <row r="95" ht="15.6" spans="2:10">
      <c r="B95" s="26" t="s">
        <v>236</v>
      </c>
      <c r="C95" s="18" t="s">
        <v>237</v>
      </c>
      <c r="D95" s="19" t="s">
        <v>248</v>
      </c>
      <c r="E95" s="20"/>
      <c r="F95" s="20"/>
      <c r="G95" s="20"/>
      <c r="H95" s="20"/>
      <c r="I95" s="18"/>
      <c r="J95" s="21" t="s">
        <v>249</v>
      </c>
    </row>
    <row r="96" ht="15.6" spans="2:10">
      <c r="B96" s="26" t="s">
        <v>236</v>
      </c>
      <c r="C96" s="18" t="s">
        <v>237</v>
      </c>
      <c r="D96" s="19" t="s">
        <v>250</v>
      </c>
      <c r="E96" s="20"/>
      <c r="F96" s="20"/>
      <c r="G96" s="20"/>
      <c r="H96" s="20"/>
      <c r="I96" s="18"/>
      <c r="J96" s="21" t="s">
        <v>251</v>
      </c>
    </row>
    <row r="97" ht="15.6" spans="2:10">
      <c r="B97" s="26" t="s">
        <v>236</v>
      </c>
      <c r="C97" s="18" t="s">
        <v>237</v>
      </c>
      <c r="D97" s="19" t="s">
        <v>252</v>
      </c>
      <c r="E97" s="20"/>
      <c r="F97" s="20"/>
      <c r="G97" s="20"/>
      <c r="H97" s="20"/>
      <c r="I97" s="18"/>
      <c r="J97" s="22" t="s">
        <v>253</v>
      </c>
    </row>
    <row r="98" ht="15.6" spans="2:10">
      <c r="B98" s="26" t="s">
        <v>236</v>
      </c>
      <c r="C98" s="18" t="s">
        <v>237</v>
      </c>
      <c r="D98" s="19" t="s">
        <v>254</v>
      </c>
      <c r="E98" s="20"/>
      <c r="F98" s="20"/>
      <c r="G98" s="20"/>
      <c r="H98" s="20"/>
      <c r="I98" s="18"/>
      <c r="J98" s="22" t="s">
        <v>255</v>
      </c>
    </row>
    <row r="99" ht="15.6" spans="2:10">
      <c r="B99" s="27" t="s">
        <v>256</v>
      </c>
      <c r="C99" s="18" t="s">
        <v>257</v>
      </c>
      <c r="D99" s="19" t="s">
        <v>258</v>
      </c>
      <c r="E99" s="20"/>
      <c r="F99" s="20"/>
      <c r="G99" s="20"/>
      <c r="H99" s="20"/>
      <c r="I99" s="18"/>
      <c r="J99" s="21" t="s">
        <v>259</v>
      </c>
    </row>
    <row r="100" ht="15.6" spans="2:10">
      <c r="B100" s="27" t="s">
        <v>256</v>
      </c>
      <c r="C100" s="18" t="s">
        <v>257</v>
      </c>
      <c r="D100" s="19" t="s">
        <v>260</v>
      </c>
      <c r="E100" s="20"/>
      <c r="F100" s="20"/>
      <c r="G100" s="20"/>
      <c r="H100" s="20"/>
      <c r="I100" s="18"/>
      <c r="J100" s="21" t="s">
        <v>261</v>
      </c>
    </row>
    <row r="101" ht="15.6" spans="2:10">
      <c r="B101" s="27" t="s">
        <v>256</v>
      </c>
      <c r="C101" s="18" t="s">
        <v>257</v>
      </c>
      <c r="D101" s="19" t="s">
        <v>262</v>
      </c>
      <c r="E101" s="20"/>
      <c r="F101" s="20"/>
      <c r="G101" s="20"/>
      <c r="H101" s="20"/>
      <c r="I101" s="18"/>
      <c r="J101" s="21" t="s">
        <v>263</v>
      </c>
    </row>
    <row r="102" ht="15.6" spans="2:10">
      <c r="B102" s="27" t="s">
        <v>256</v>
      </c>
      <c r="C102" s="18" t="s">
        <v>257</v>
      </c>
      <c r="D102" s="19" t="s">
        <v>264</v>
      </c>
      <c r="E102" s="20"/>
      <c r="F102" s="20"/>
      <c r="G102" s="20"/>
      <c r="H102" s="20"/>
      <c r="I102" s="18"/>
      <c r="J102" s="21" t="s">
        <v>265</v>
      </c>
    </row>
    <row r="103" ht="15.6" spans="2:10">
      <c r="B103" s="27" t="s">
        <v>256</v>
      </c>
      <c r="C103" s="18" t="s">
        <v>257</v>
      </c>
      <c r="D103" s="19" t="s">
        <v>266</v>
      </c>
      <c r="E103" s="20"/>
      <c r="F103" s="20"/>
      <c r="G103" s="20"/>
      <c r="H103" s="20"/>
      <c r="I103" s="18"/>
      <c r="J103" s="21" t="s">
        <v>267</v>
      </c>
    </row>
    <row r="104" ht="15.6" spans="2:10">
      <c r="B104" s="27" t="s">
        <v>256</v>
      </c>
      <c r="C104" s="18" t="s">
        <v>257</v>
      </c>
      <c r="D104" s="19" t="s">
        <v>268</v>
      </c>
      <c r="E104" s="20"/>
      <c r="F104" s="20"/>
      <c r="G104" s="20"/>
      <c r="H104" s="20"/>
      <c r="I104" s="18"/>
      <c r="J104" s="21" t="s">
        <v>269</v>
      </c>
    </row>
    <row r="105" ht="15.6" spans="2:10">
      <c r="B105" s="27" t="s">
        <v>256</v>
      </c>
      <c r="C105" s="18" t="s">
        <v>257</v>
      </c>
      <c r="D105" s="19" t="s">
        <v>270</v>
      </c>
      <c r="E105" s="20"/>
      <c r="F105" s="20"/>
      <c r="G105" s="20"/>
      <c r="H105" s="20"/>
      <c r="I105" s="18"/>
      <c r="J105" s="21" t="s">
        <v>271</v>
      </c>
    </row>
    <row r="106" ht="15.6" spans="2:10">
      <c r="B106" s="27" t="s">
        <v>256</v>
      </c>
      <c r="C106" s="18" t="s">
        <v>257</v>
      </c>
      <c r="D106" s="19" t="s">
        <v>272</v>
      </c>
      <c r="E106" s="20"/>
      <c r="F106" s="20"/>
      <c r="G106" s="20"/>
      <c r="H106" s="20"/>
      <c r="I106" s="18"/>
      <c r="J106" s="21" t="s">
        <v>273</v>
      </c>
    </row>
    <row r="107" ht="15.6" spans="2:10">
      <c r="B107" s="27" t="s">
        <v>256</v>
      </c>
      <c r="C107" s="18" t="s">
        <v>257</v>
      </c>
      <c r="D107" s="19" t="s">
        <v>274</v>
      </c>
      <c r="E107" s="20"/>
      <c r="F107" s="20"/>
      <c r="G107" s="20"/>
      <c r="H107" s="20"/>
      <c r="I107" s="18"/>
      <c r="J107" s="21" t="s">
        <v>275</v>
      </c>
    </row>
    <row r="108" ht="15.6" spans="2:10">
      <c r="B108" s="27" t="s">
        <v>256</v>
      </c>
      <c r="C108" s="18" t="s">
        <v>257</v>
      </c>
      <c r="D108" s="19" t="s">
        <v>276</v>
      </c>
      <c r="E108" s="20"/>
      <c r="F108" s="20"/>
      <c r="G108" s="20"/>
      <c r="H108" s="20"/>
      <c r="I108" s="18"/>
      <c r="J108" s="21" t="s">
        <v>277</v>
      </c>
    </row>
    <row r="109" ht="15.6" spans="2:10">
      <c r="B109" s="27" t="s">
        <v>256</v>
      </c>
      <c r="C109" s="18" t="s">
        <v>257</v>
      </c>
      <c r="D109" s="19" t="s">
        <v>278</v>
      </c>
      <c r="E109" s="20"/>
      <c r="F109" s="20"/>
      <c r="G109" s="20"/>
      <c r="H109" s="20"/>
      <c r="I109" s="18"/>
      <c r="J109" s="21" t="s">
        <v>279</v>
      </c>
    </row>
    <row r="110" ht="15.6" spans="2:10">
      <c r="B110" s="27" t="s">
        <v>256</v>
      </c>
      <c r="C110" s="18" t="s">
        <v>257</v>
      </c>
      <c r="D110" s="19" t="s">
        <v>280</v>
      </c>
      <c r="E110" s="20"/>
      <c r="F110" s="20"/>
      <c r="G110" s="20"/>
      <c r="H110" s="20"/>
      <c r="I110" s="18"/>
      <c r="J110" s="21" t="s">
        <v>281</v>
      </c>
    </row>
    <row r="111" ht="15.6" spans="2:10">
      <c r="B111" s="27" t="s">
        <v>256</v>
      </c>
      <c r="C111" s="18" t="s">
        <v>257</v>
      </c>
      <c r="D111" s="19" t="s">
        <v>282</v>
      </c>
      <c r="E111" s="20"/>
      <c r="F111" s="20"/>
      <c r="G111" s="20"/>
      <c r="H111" s="20"/>
      <c r="I111" s="18"/>
      <c r="J111" s="21" t="s">
        <v>283</v>
      </c>
    </row>
    <row r="112" ht="15.6" spans="2:10">
      <c r="B112" s="27" t="s">
        <v>256</v>
      </c>
      <c r="C112" s="18" t="s">
        <v>257</v>
      </c>
      <c r="D112" s="19" t="s">
        <v>284</v>
      </c>
      <c r="E112" s="20"/>
      <c r="F112" s="20"/>
      <c r="G112" s="20"/>
      <c r="H112" s="20"/>
      <c r="I112" s="18"/>
      <c r="J112" s="21" t="s">
        <v>285</v>
      </c>
    </row>
    <row r="113" ht="15.6" spans="2:10">
      <c r="B113" s="27" t="s">
        <v>256</v>
      </c>
      <c r="C113" s="18" t="s">
        <v>257</v>
      </c>
      <c r="D113" s="19" t="s">
        <v>286</v>
      </c>
      <c r="E113" s="20"/>
      <c r="F113" s="20"/>
      <c r="G113" s="20"/>
      <c r="H113" s="20"/>
      <c r="I113" s="18"/>
      <c r="J113" s="21" t="s">
        <v>287</v>
      </c>
    </row>
    <row r="114" ht="15.6" spans="2:10">
      <c r="B114" s="27" t="s">
        <v>256</v>
      </c>
      <c r="C114" s="18" t="s">
        <v>257</v>
      </c>
      <c r="D114" s="19" t="s">
        <v>288</v>
      </c>
      <c r="E114" s="20"/>
      <c r="F114" s="20"/>
      <c r="G114" s="20"/>
      <c r="H114" s="20"/>
      <c r="I114" s="18"/>
      <c r="J114" s="22" t="s">
        <v>289</v>
      </c>
    </row>
    <row r="115" ht="15.6" spans="2:10">
      <c r="B115" s="27" t="s">
        <v>256</v>
      </c>
      <c r="C115" s="18" t="s">
        <v>257</v>
      </c>
      <c r="D115" s="19" t="s">
        <v>290</v>
      </c>
      <c r="E115" s="20"/>
      <c r="F115" s="20"/>
      <c r="G115" s="20"/>
      <c r="H115" s="20"/>
      <c r="I115" s="18"/>
      <c r="J115" s="21" t="s">
        <v>291</v>
      </c>
    </row>
    <row r="116" ht="15.6" spans="2:10">
      <c r="B116" s="27" t="s">
        <v>256</v>
      </c>
      <c r="C116" s="18" t="s">
        <v>257</v>
      </c>
      <c r="D116" s="19" t="s">
        <v>292</v>
      </c>
      <c r="E116" s="20"/>
      <c r="F116" s="20"/>
      <c r="G116" s="20"/>
      <c r="H116" s="20"/>
      <c r="I116" s="18"/>
      <c r="J116" s="21" t="s">
        <v>293</v>
      </c>
    </row>
    <row r="117" ht="15.6" spans="2:10">
      <c r="B117" s="27" t="s">
        <v>256</v>
      </c>
      <c r="C117" s="18" t="s">
        <v>257</v>
      </c>
      <c r="D117" s="19" t="s">
        <v>294</v>
      </c>
      <c r="E117" s="20"/>
      <c r="F117" s="20"/>
      <c r="G117" s="20"/>
      <c r="H117" s="20"/>
      <c r="I117" s="18"/>
      <c r="J117" s="21" t="s">
        <v>295</v>
      </c>
    </row>
    <row r="118" ht="15.6" spans="2:10">
      <c r="B118" s="27" t="s">
        <v>256</v>
      </c>
      <c r="C118" s="18" t="s">
        <v>257</v>
      </c>
      <c r="D118" s="19" t="s">
        <v>296</v>
      </c>
      <c r="E118" s="20"/>
      <c r="F118" s="20"/>
      <c r="G118" s="20"/>
      <c r="H118" s="20"/>
      <c r="I118" s="18"/>
      <c r="J118" s="21" t="s">
        <v>297</v>
      </c>
    </row>
    <row r="119" ht="15.6" spans="2:10">
      <c r="B119" s="27" t="s">
        <v>256</v>
      </c>
      <c r="C119" s="18" t="s">
        <v>257</v>
      </c>
      <c r="D119" s="19" t="s">
        <v>298</v>
      </c>
      <c r="E119" s="20"/>
      <c r="F119" s="20"/>
      <c r="G119" s="20"/>
      <c r="H119" s="20"/>
      <c r="I119" s="18"/>
      <c r="J119" s="21" t="s">
        <v>299</v>
      </c>
    </row>
    <row r="120" ht="15.6" spans="2:10">
      <c r="B120" s="27" t="s">
        <v>256</v>
      </c>
      <c r="C120" s="18" t="s">
        <v>257</v>
      </c>
      <c r="D120" s="19" t="s">
        <v>300</v>
      </c>
      <c r="E120" s="20"/>
      <c r="F120" s="20"/>
      <c r="G120" s="20"/>
      <c r="H120" s="20"/>
      <c r="I120" s="18"/>
      <c r="J120" s="21" t="s">
        <v>301</v>
      </c>
    </row>
    <row r="121" ht="15.6" spans="2:10">
      <c r="B121" s="27" t="s">
        <v>256</v>
      </c>
      <c r="C121" s="18" t="s">
        <v>257</v>
      </c>
      <c r="D121" s="19" t="s">
        <v>302</v>
      </c>
      <c r="E121" s="20"/>
      <c r="F121" s="20"/>
      <c r="G121" s="20"/>
      <c r="H121" s="20"/>
      <c r="I121" s="18"/>
      <c r="J121" s="22" t="s">
        <v>303</v>
      </c>
    </row>
    <row r="122" ht="15.6" spans="2:10">
      <c r="B122" s="27" t="s">
        <v>256</v>
      </c>
      <c r="C122" s="18" t="s">
        <v>257</v>
      </c>
      <c r="D122" s="19" t="s">
        <v>304</v>
      </c>
      <c r="E122" s="20"/>
      <c r="F122" s="20"/>
      <c r="G122" s="20"/>
      <c r="H122" s="20"/>
      <c r="I122" s="18"/>
      <c r="J122" s="21" t="s">
        <v>305</v>
      </c>
    </row>
    <row r="123" ht="15.6" spans="2:10">
      <c r="B123" s="28" t="s">
        <v>306</v>
      </c>
      <c r="C123" s="18" t="s">
        <v>307</v>
      </c>
      <c r="D123" s="19" t="s">
        <v>308</v>
      </c>
      <c r="E123" s="20"/>
      <c r="F123" s="20"/>
      <c r="G123" s="20"/>
      <c r="H123" s="20"/>
      <c r="I123" s="18"/>
      <c r="J123" s="21" t="s">
        <v>309</v>
      </c>
    </row>
    <row r="124" ht="15.6" spans="2:10">
      <c r="B124" s="28" t="s">
        <v>306</v>
      </c>
      <c r="C124" s="18" t="s">
        <v>307</v>
      </c>
      <c r="D124" s="19" t="s">
        <v>310</v>
      </c>
      <c r="E124" s="20"/>
      <c r="F124" s="20"/>
      <c r="G124" s="20"/>
      <c r="H124" s="20"/>
      <c r="I124" s="18"/>
      <c r="J124" s="21" t="s">
        <v>311</v>
      </c>
    </row>
    <row r="125" ht="15.6" spans="2:10">
      <c r="B125" s="28" t="s">
        <v>306</v>
      </c>
      <c r="C125" s="18" t="s">
        <v>307</v>
      </c>
      <c r="D125" s="19" t="s">
        <v>312</v>
      </c>
      <c r="E125" s="20"/>
      <c r="F125" s="20"/>
      <c r="G125" s="20"/>
      <c r="H125" s="20"/>
      <c r="I125" s="18"/>
      <c r="J125" s="21" t="s">
        <v>313</v>
      </c>
    </row>
    <row r="126" ht="15.6" spans="2:10">
      <c r="B126" s="28" t="s">
        <v>306</v>
      </c>
      <c r="C126" s="18" t="s">
        <v>307</v>
      </c>
      <c r="D126" s="19" t="s">
        <v>314</v>
      </c>
      <c r="E126" s="20"/>
      <c r="F126" s="20"/>
      <c r="G126" s="20"/>
      <c r="H126" s="20"/>
      <c r="I126" s="18"/>
      <c r="J126" s="21" t="s">
        <v>315</v>
      </c>
    </row>
    <row r="127" ht="15.6" spans="2:10">
      <c r="B127" s="28" t="s">
        <v>306</v>
      </c>
      <c r="C127" s="18" t="s">
        <v>307</v>
      </c>
      <c r="D127" s="19" t="s">
        <v>316</v>
      </c>
      <c r="E127" s="20"/>
      <c r="F127" s="20"/>
      <c r="G127" s="20"/>
      <c r="H127" s="20"/>
      <c r="I127" s="18"/>
      <c r="J127" s="22" t="s">
        <v>317</v>
      </c>
    </row>
    <row r="128" ht="15.6" spans="2:10">
      <c r="B128" s="28" t="s">
        <v>306</v>
      </c>
      <c r="C128" s="18" t="s">
        <v>307</v>
      </c>
      <c r="D128" s="19" t="s">
        <v>318</v>
      </c>
      <c r="E128" s="20"/>
      <c r="F128" s="20"/>
      <c r="G128" s="20"/>
      <c r="H128" s="20"/>
      <c r="I128" s="18"/>
      <c r="J128" s="21" t="s">
        <v>319</v>
      </c>
    </row>
    <row r="129" ht="15.6" spans="2:10">
      <c r="B129" s="28" t="s">
        <v>306</v>
      </c>
      <c r="C129" s="18" t="s">
        <v>307</v>
      </c>
      <c r="D129" s="19" t="s">
        <v>320</v>
      </c>
      <c r="E129" s="20"/>
      <c r="F129" s="20"/>
      <c r="G129" s="20"/>
      <c r="H129" s="20"/>
      <c r="I129" s="18"/>
      <c r="J129" s="21" t="s">
        <v>321</v>
      </c>
    </row>
    <row r="130" ht="15.6" spans="2:10">
      <c r="B130" s="28" t="s">
        <v>306</v>
      </c>
      <c r="C130" s="18" t="s">
        <v>307</v>
      </c>
      <c r="D130" s="19" t="s">
        <v>322</v>
      </c>
      <c r="E130" s="20"/>
      <c r="F130" s="20"/>
      <c r="G130" s="20"/>
      <c r="H130" s="20"/>
      <c r="I130" s="18"/>
      <c r="J130" s="21" t="s">
        <v>323</v>
      </c>
    </row>
    <row r="131" ht="15.6" spans="2:10">
      <c r="B131" s="28" t="s">
        <v>306</v>
      </c>
      <c r="C131" s="18" t="s">
        <v>307</v>
      </c>
      <c r="D131" s="19" t="s">
        <v>324</v>
      </c>
      <c r="E131" s="20"/>
      <c r="F131" s="20"/>
      <c r="G131" s="20"/>
      <c r="H131" s="20"/>
      <c r="I131" s="18"/>
      <c r="J131" s="21" t="s">
        <v>325</v>
      </c>
    </row>
    <row r="132" ht="15.6" spans="2:10">
      <c r="B132" s="28" t="s">
        <v>306</v>
      </c>
      <c r="C132" s="18" t="s">
        <v>307</v>
      </c>
      <c r="D132" s="19" t="s">
        <v>326</v>
      </c>
      <c r="E132" s="20"/>
      <c r="F132" s="20"/>
      <c r="G132" s="20"/>
      <c r="H132" s="20"/>
      <c r="I132" s="18"/>
      <c r="J132" s="21" t="s">
        <v>327</v>
      </c>
    </row>
    <row r="133" ht="15.6" spans="2:10">
      <c r="B133" s="28" t="s">
        <v>306</v>
      </c>
      <c r="C133" s="18" t="s">
        <v>307</v>
      </c>
      <c r="D133" s="19" t="s">
        <v>328</v>
      </c>
      <c r="E133" s="20"/>
      <c r="F133" s="20"/>
      <c r="G133" s="20"/>
      <c r="H133" s="20"/>
      <c r="I133" s="18"/>
      <c r="J133" s="21" t="s">
        <v>329</v>
      </c>
    </row>
    <row r="134" ht="15.6" spans="2:10">
      <c r="B134" s="28" t="s">
        <v>306</v>
      </c>
      <c r="C134" s="18" t="s">
        <v>307</v>
      </c>
      <c r="D134" s="19" t="s">
        <v>330</v>
      </c>
      <c r="E134" s="20"/>
      <c r="F134" s="20"/>
      <c r="G134" s="20"/>
      <c r="H134" s="20"/>
      <c r="I134" s="18"/>
      <c r="J134" s="21" t="s">
        <v>331</v>
      </c>
    </row>
    <row r="135" ht="15.6" spans="2:10">
      <c r="B135" s="28" t="s">
        <v>306</v>
      </c>
      <c r="C135" s="18" t="s">
        <v>307</v>
      </c>
      <c r="D135" s="19" t="s">
        <v>332</v>
      </c>
      <c r="E135" s="20"/>
      <c r="F135" s="20"/>
      <c r="G135" s="20"/>
      <c r="H135" s="20"/>
      <c r="I135" s="18"/>
      <c r="J135" s="21" t="s">
        <v>333</v>
      </c>
    </row>
    <row r="136" ht="15.6" spans="2:10">
      <c r="B136" s="28" t="s">
        <v>306</v>
      </c>
      <c r="C136" s="18" t="s">
        <v>307</v>
      </c>
      <c r="D136" s="19" t="s">
        <v>334</v>
      </c>
      <c r="E136" s="20"/>
      <c r="F136" s="20"/>
      <c r="G136" s="20"/>
      <c r="H136" s="20"/>
      <c r="I136" s="18"/>
      <c r="J136" s="21" t="s">
        <v>335</v>
      </c>
    </row>
    <row r="137" ht="15.6" spans="2:10">
      <c r="B137" s="28" t="s">
        <v>306</v>
      </c>
      <c r="C137" s="18" t="s">
        <v>307</v>
      </c>
      <c r="D137" s="19" t="s">
        <v>336</v>
      </c>
      <c r="E137" s="20"/>
      <c r="F137" s="20"/>
      <c r="G137" s="20"/>
      <c r="H137" s="20"/>
      <c r="I137" s="18"/>
      <c r="J137" s="22" t="s">
        <v>337</v>
      </c>
    </row>
    <row r="138" ht="15.6" spans="2:10">
      <c r="B138" s="28" t="s">
        <v>306</v>
      </c>
      <c r="C138" s="18" t="s">
        <v>307</v>
      </c>
      <c r="D138" s="19" t="s">
        <v>338</v>
      </c>
      <c r="E138" s="20"/>
      <c r="F138" s="20"/>
      <c r="G138" s="20"/>
      <c r="H138" s="20"/>
      <c r="I138" s="18"/>
      <c r="J138" s="21" t="s">
        <v>339</v>
      </c>
    </row>
  </sheetData>
  <autoFilter xmlns:etc="http://www.wps.cn/officeDocument/2017/etCustomData" ref="B5:J138" etc:filterBottomFollowUsedRange="0">
    <extLst/>
  </autoFilter>
  <mergeCells count="2">
    <mergeCell ref="B2:J2"/>
    <mergeCell ref="B3:J3"/>
  </mergeCells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H12"/>
  <sheetViews>
    <sheetView zoomScalePageLayoutView="60" workbookViewId="0">
      <selection activeCell="A1" sqref="A1"/>
    </sheetView>
  </sheetViews>
  <sheetFormatPr defaultColWidth="8.67592592592593" defaultRowHeight="14.4" outlineLevelCol="7"/>
  <cols>
    <col min="2" max="2" width="6" customWidth="1"/>
    <col min="3" max="3" width="22" customWidth="1"/>
    <col min="4" max="4" width="10" customWidth="1"/>
    <col min="5" max="5" width="12" customWidth="1"/>
    <col min="6" max="8" width="10" customWidth="1"/>
  </cols>
  <sheetData>
    <row r="2" ht="17.4" spans="2:8">
      <c r="B2" s="1" t="s">
        <v>340</v>
      </c>
      <c r="C2" s="1"/>
      <c r="D2" s="1"/>
      <c r="E2" s="1"/>
      <c r="F2" s="1"/>
      <c r="G2" s="1"/>
      <c r="H2" s="1"/>
    </row>
    <row r="4" ht="15.6" spans="2:8">
      <c r="B4" s="2" t="s">
        <v>2</v>
      </c>
      <c r="C4" s="2" t="s">
        <v>3</v>
      </c>
      <c r="D4" s="2" t="s">
        <v>341</v>
      </c>
      <c r="E4" s="3" t="s">
        <v>342</v>
      </c>
      <c r="F4" s="2" t="s">
        <v>343</v>
      </c>
      <c r="G4" s="2" t="s">
        <v>344</v>
      </c>
      <c r="H4" s="2" t="s">
        <v>345</v>
      </c>
    </row>
    <row r="5" ht="15.6" spans="2:8">
      <c r="B5" s="4" t="s">
        <v>11</v>
      </c>
      <c r="C5" s="5" t="s">
        <v>12</v>
      </c>
      <c r="D5">
        <f>COUNTIF(全模组清单!$B$6:$B$138,B5)</f>
        <v>3</v>
      </c>
      <c r="E5">
        <f>SUMIF(全模组清单!$B$6:$B$138,B5,全模组清单!$E$6:$E$138)</f>
        <v>16</v>
      </c>
      <c r="F5">
        <f>SUMIF(全模组清单!$B$6:$B$138,B5,全模组清单!$F$6:$F$138)</f>
        <v>52</v>
      </c>
      <c r="G5">
        <f>SUMIF(全模组清单!$B$6:$B$138,B5,全模组清单!$G$6:$G$138)</f>
        <v>81</v>
      </c>
      <c r="H5">
        <f>SUMIF(全模组清单!$B$6:$B$138,B5,全模组清单!$H$6:$H$138)</f>
        <v>0</v>
      </c>
    </row>
    <row r="6" ht="15.6" spans="2:8">
      <c r="B6" s="6" t="s">
        <v>22</v>
      </c>
      <c r="C6" s="5" t="s">
        <v>23</v>
      </c>
      <c r="D6">
        <f>COUNTIF(全模组清单!$B$6:$B$138,B6)</f>
        <v>26</v>
      </c>
      <c r="E6">
        <f>SUMIF(全模组清单!$B$6:$B$138,B6,全模组清单!$E$6:$E$138)</f>
        <v>171</v>
      </c>
      <c r="F6">
        <f>SUMIF(全模组清单!$B$6:$B$138,B6,全模组清单!$F$6:$F$138)</f>
        <v>1097</v>
      </c>
      <c r="G6">
        <f>SUMIF(全模组清单!$B$6:$B$138,B6,全模组清单!$G$6:$G$138)</f>
        <v>420</v>
      </c>
      <c r="H6">
        <f>SUMIF(全模组清单!$B$6:$B$138,B6,全模组清单!$H$6:$H$138)</f>
        <v>251</v>
      </c>
    </row>
    <row r="7" ht="15.6" spans="2:8">
      <c r="B7" s="7" t="s">
        <v>102</v>
      </c>
      <c r="C7" t="s">
        <v>346</v>
      </c>
      <c r="D7">
        <f>COUNTIF(全模组清单!$B$6:$B$138,B7)</f>
        <v>25</v>
      </c>
      <c r="E7">
        <f>SUMIF(全模组清单!$B$6:$B$138,B7,全模组清单!$E$6:$E$138)</f>
        <v>2</v>
      </c>
      <c r="F7">
        <f>SUMIF(全模组清单!$B$6:$B$138,B7,全模组清单!$F$6:$F$138)</f>
        <v>85</v>
      </c>
      <c r="G7">
        <f>SUMIF(全模组清单!$B$6:$B$138,B7,全模组清单!$G$6:$G$138)</f>
        <v>4</v>
      </c>
      <c r="H7">
        <f>SUMIF(全模组清单!$B$6:$B$138,B7,全模组清单!$H$6:$H$138)</f>
        <v>0</v>
      </c>
    </row>
    <row r="8" ht="15.6" spans="2:8">
      <c r="B8" s="8" t="s">
        <v>174</v>
      </c>
      <c r="C8" s="5" t="s">
        <v>347</v>
      </c>
      <c r="D8">
        <f>COUNTIF(全模组清单!$B$6:$B$138,B8)</f>
        <v>30</v>
      </c>
      <c r="E8">
        <f>SUMIF(全模组清单!$B$6:$B$138,B8,全模组清单!$E$6:$E$138)</f>
        <v>0</v>
      </c>
      <c r="F8">
        <f>SUMIF(全模组清单!$B$6:$B$138,B8,全模组清单!$F$6:$F$138)</f>
        <v>0</v>
      </c>
      <c r="G8">
        <f>SUMIF(全模组清单!$B$6:$B$138,B8,全模组清单!$G$6:$G$138)</f>
        <v>0</v>
      </c>
      <c r="H8">
        <f>SUMIF(全模组清单!$B$6:$B$138,B8,全模组清单!$H$6:$H$138)</f>
        <v>0</v>
      </c>
    </row>
    <row r="9" ht="15.6" spans="2:8">
      <c r="B9" s="9" t="s">
        <v>236</v>
      </c>
      <c r="C9" s="5" t="s">
        <v>348</v>
      </c>
      <c r="D9">
        <f>COUNTIF(全模组清单!$B$6:$B$138,B9)</f>
        <v>9</v>
      </c>
      <c r="E9">
        <f>SUMIF(全模组清单!$B$6:$B$138,B9,全模组清单!$E$6:$E$138)</f>
        <v>0</v>
      </c>
      <c r="F9">
        <f>SUMIF(全模组清单!$B$6:$B$138,B9,全模组清单!$F$6:$F$138)</f>
        <v>0</v>
      </c>
      <c r="G9">
        <f>SUMIF(全模组清单!$B$6:$B$138,B9,全模组清单!$G$6:$G$138)</f>
        <v>0</v>
      </c>
      <c r="H9">
        <f>SUMIF(全模组清单!$B$6:$B$138,B9,全模组清单!$H$6:$H$138)</f>
        <v>0</v>
      </c>
    </row>
    <row r="10" ht="15.6" spans="2:8">
      <c r="B10" s="10" t="s">
        <v>256</v>
      </c>
      <c r="C10" s="5" t="s">
        <v>349</v>
      </c>
      <c r="D10">
        <f>COUNTIF(全模组清单!$B$6:$B$138,B10)</f>
        <v>24</v>
      </c>
      <c r="E10">
        <f>SUMIF(全模组清单!$B$6:$B$138,B10,全模组清单!$E$6:$E$138)</f>
        <v>0</v>
      </c>
      <c r="F10">
        <f>SUMIF(全模组清单!$B$6:$B$138,B10,全模组清单!$F$6:$F$138)</f>
        <v>0</v>
      </c>
      <c r="G10">
        <f>SUMIF(全模组清单!$B$6:$B$138,B10,全模组清单!$G$6:$G$138)</f>
        <v>0</v>
      </c>
      <c r="H10">
        <f>SUMIF(全模组清单!$B$6:$B$138,B10,全模组清单!$H$6:$H$138)</f>
        <v>0</v>
      </c>
    </row>
    <row r="11" ht="15.6" spans="2:8">
      <c r="B11" s="11" t="s">
        <v>306</v>
      </c>
      <c r="C11" s="5" t="s">
        <v>350</v>
      </c>
      <c r="D11">
        <f>COUNTIF(全模组清单!$B$6:$B$138,B11)</f>
        <v>16</v>
      </c>
      <c r="E11">
        <f>SUMIF(全模组清单!$B$6:$B$138,B11,全模组清单!$E$6:$E$138)</f>
        <v>0</v>
      </c>
      <c r="F11">
        <f>SUMIF(全模组清单!$B$6:$B$138,B11,全模组清单!$F$6:$F$138)</f>
        <v>0</v>
      </c>
      <c r="G11">
        <f>SUMIF(全模组清单!$B$6:$B$138,B11,全模组清单!$G$6:$G$138)</f>
        <v>0</v>
      </c>
      <c r="H11">
        <f>SUMIF(全模组清单!$B$6:$B$138,B11,全模组清单!$H$6:$H$138)</f>
        <v>0</v>
      </c>
    </row>
    <row r="12" spans="2:8">
      <c r="C12" s="12" t="s">
        <v>351</v>
      </c>
      <c r="D12" s="12">
        <f>SUM(D5:D11)</f>
        <v>133</v>
      </c>
      <c r="E12" s="12">
        <f>SUM(E5:E11)</f>
        <v>189</v>
      </c>
      <c r="F12" s="12">
        <f>SUM(F5:F11)</f>
        <v>1234</v>
      </c>
      <c r="G12" s="12">
        <f>SUM(G5:G11)</f>
        <v>505</v>
      </c>
      <c r="H12" s="12">
        <f>SUM(H5:H11)</f>
        <v>251</v>
      </c>
    </row>
  </sheetData>
  <mergeCells count="1">
    <mergeCell ref="B2:H2"/>
  </mergeCell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全模组清单</vt:lpstr>
      <vt:lpstr>分档统计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8202557743</cp:lastModifiedBy>
  <dcterms:created xsi:type="dcterms:W3CDTF">2026-09-22T08:16:31Z</dcterms:created>
  <dcterms:modified xsi:type="dcterms:W3CDTF">2026-09-22T14:23:44Z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BCA8C5E8EC094C31B7B4172D66F21469_12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